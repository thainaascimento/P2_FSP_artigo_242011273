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rodrigues/Downloads/"/>
    </mc:Choice>
  </mc:AlternateContent>
  <xr:revisionPtr revIDLastSave="0" documentId="13_ncr:1_{63A8EAEA-F809-F641-AECC-75FFFE570DCF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Londrina PR" sheetId="2" r:id="rId1"/>
    <sheet name="Cascavel PR" sheetId="3" r:id="rId2"/>
    <sheet name="China " sheetId="1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1" l="1"/>
  <c r="G20" i="1"/>
  <c r="G21" i="1"/>
  <c r="G22" i="1"/>
  <c r="G23" i="1"/>
  <c r="G24" i="1"/>
  <c r="G25" i="1"/>
  <c r="G26" i="1"/>
  <c r="G27" i="1"/>
  <c r="G18" i="1"/>
  <c r="F19" i="1"/>
  <c r="F20" i="1"/>
  <c r="F21" i="1"/>
  <c r="F22" i="1"/>
  <c r="F23" i="1"/>
  <c r="F24" i="1"/>
  <c r="F25" i="1"/>
  <c r="F26" i="1"/>
  <c r="F27" i="1"/>
  <c r="F18" i="1"/>
  <c r="E19" i="1"/>
  <c r="E20" i="1"/>
  <c r="E21" i="1"/>
  <c r="E22" i="1"/>
  <c r="E23" i="1"/>
  <c r="E24" i="1"/>
  <c r="E25" i="1"/>
  <c r="E26" i="1"/>
  <c r="E27" i="1"/>
  <c r="E18" i="1"/>
  <c r="D19" i="1"/>
  <c r="D20" i="1"/>
  <c r="D21" i="1"/>
  <c r="D22" i="1"/>
  <c r="D23" i="1"/>
  <c r="D24" i="1"/>
  <c r="D25" i="1"/>
  <c r="D26" i="1"/>
  <c r="D27" i="1"/>
  <c r="D18" i="1"/>
  <c r="C19" i="1"/>
  <c r="C20" i="1"/>
  <c r="C21" i="1"/>
  <c r="C22" i="1"/>
  <c r="C23" i="1"/>
  <c r="C24" i="1"/>
  <c r="C25" i="1"/>
  <c r="C26" i="1"/>
  <c r="C27" i="1"/>
  <c r="C18" i="1"/>
  <c r="E32" i="2"/>
  <c r="E33" i="2"/>
  <c r="E34" i="2"/>
  <c r="E35" i="2"/>
  <c r="E36" i="2"/>
  <c r="E37" i="2"/>
  <c r="E38" i="2"/>
  <c r="E39" i="2"/>
  <c r="E40" i="2"/>
  <c r="E31" i="2"/>
  <c r="J19" i="2"/>
  <c r="J20" i="2"/>
  <c r="J21" i="2"/>
  <c r="J22" i="2"/>
  <c r="J23" i="2"/>
  <c r="J24" i="2"/>
  <c r="J25" i="2"/>
  <c r="J26" i="2"/>
  <c r="J27" i="2"/>
  <c r="J18" i="2"/>
  <c r="I19" i="2"/>
  <c r="I20" i="2"/>
  <c r="I21" i="2"/>
  <c r="I22" i="2"/>
  <c r="I23" i="2"/>
  <c r="I24" i="2"/>
  <c r="I25" i="2"/>
  <c r="I26" i="2"/>
  <c r="I27" i="2"/>
  <c r="I18" i="2"/>
  <c r="H19" i="2"/>
  <c r="H20" i="2"/>
  <c r="H21" i="2"/>
  <c r="H22" i="2"/>
  <c r="H23" i="2"/>
  <c r="H24" i="2"/>
  <c r="H25" i="2"/>
  <c r="H26" i="2"/>
  <c r="H27" i="2"/>
  <c r="H18" i="2"/>
  <c r="G19" i="2"/>
  <c r="G20" i="2"/>
  <c r="G21" i="2"/>
  <c r="G22" i="2"/>
  <c r="G23" i="2"/>
  <c r="G24" i="2"/>
  <c r="G25" i="2"/>
  <c r="G26" i="2"/>
  <c r="G27" i="2"/>
  <c r="G18" i="2"/>
  <c r="F19" i="2"/>
  <c r="F20" i="2"/>
  <c r="F21" i="2"/>
  <c r="F22" i="2"/>
  <c r="F23" i="2"/>
  <c r="F24" i="2"/>
  <c r="F25" i="2"/>
  <c r="F26" i="2"/>
  <c r="F27" i="2"/>
  <c r="F18" i="2"/>
  <c r="E19" i="2"/>
  <c r="E20" i="2"/>
  <c r="E21" i="2"/>
  <c r="E22" i="2"/>
  <c r="E23" i="2"/>
  <c r="E24" i="2"/>
  <c r="E25" i="2"/>
  <c r="E26" i="2"/>
  <c r="E27" i="2"/>
  <c r="E18" i="2"/>
  <c r="D19" i="2"/>
  <c r="D20" i="2"/>
  <c r="D21" i="2"/>
  <c r="D22" i="2"/>
  <c r="D23" i="2"/>
  <c r="D24" i="2"/>
  <c r="D25" i="2"/>
  <c r="D26" i="2"/>
  <c r="D27" i="2"/>
  <c r="D18" i="2"/>
  <c r="C19" i="2"/>
  <c r="C20" i="2"/>
  <c r="C21" i="2"/>
  <c r="C22" i="2"/>
  <c r="C23" i="2"/>
  <c r="C24" i="2"/>
  <c r="C25" i="2"/>
  <c r="C26" i="2"/>
  <c r="C27" i="2"/>
  <c r="C18" i="2"/>
  <c r="J19" i="3"/>
  <c r="J20" i="3"/>
  <c r="J21" i="3"/>
  <c r="J22" i="3"/>
  <c r="J23" i="3"/>
  <c r="J24" i="3"/>
  <c r="J25" i="3"/>
  <c r="J26" i="3"/>
  <c r="J27" i="3"/>
  <c r="J18" i="3"/>
  <c r="I19" i="3"/>
  <c r="I20" i="3"/>
  <c r="I21" i="3"/>
  <c r="I22" i="3"/>
  <c r="I23" i="3"/>
  <c r="I24" i="3"/>
  <c r="I25" i="3"/>
  <c r="I26" i="3"/>
  <c r="I27" i="3"/>
  <c r="I18" i="3"/>
  <c r="H19" i="3"/>
  <c r="H20" i="3"/>
  <c r="H21" i="3"/>
  <c r="H22" i="3"/>
  <c r="H23" i="3"/>
  <c r="H24" i="3"/>
  <c r="H25" i="3"/>
  <c r="H26" i="3"/>
  <c r="H27" i="3"/>
  <c r="H18" i="3"/>
  <c r="G19" i="3"/>
  <c r="G20" i="3"/>
  <c r="G21" i="3"/>
  <c r="G22" i="3"/>
  <c r="G23" i="3"/>
  <c r="G24" i="3"/>
  <c r="G25" i="3"/>
  <c r="G26" i="3"/>
  <c r="G27" i="3"/>
  <c r="G18" i="3"/>
  <c r="F19" i="3"/>
  <c r="F20" i="3"/>
  <c r="F21" i="3"/>
  <c r="F22" i="3"/>
  <c r="F23" i="3"/>
  <c r="F24" i="3"/>
  <c r="F25" i="3"/>
  <c r="F26" i="3"/>
  <c r="F27" i="3"/>
  <c r="F18" i="3"/>
  <c r="E19" i="3"/>
  <c r="E20" i="3"/>
  <c r="E21" i="3"/>
  <c r="E22" i="3"/>
  <c r="E23" i="3"/>
  <c r="E24" i="3"/>
  <c r="E25" i="3"/>
  <c r="E26" i="3"/>
  <c r="E27" i="3"/>
  <c r="E18" i="3"/>
  <c r="D18" i="3"/>
  <c r="B19" i="2"/>
  <c r="B20" i="2"/>
  <c r="B21" i="2"/>
  <c r="B22" i="2"/>
  <c r="B23" i="2"/>
  <c r="B24" i="2"/>
  <c r="B25" i="2"/>
  <c r="B26" i="2"/>
  <c r="B27" i="2"/>
  <c r="B18" i="2"/>
  <c r="D19" i="3"/>
  <c r="D20" i="3"/>
  <c r="D21" i="3"/>
  <c r="D22" i="3"/>
  <c r="D23" i="3"/>
  <c r="D24" i="3"/>
  <c r="D25" i="3"/>
  <c r="D26" i="3"/>
  <c r="D27" i="3"/>
  <c r="C19" i="3"/>
  <c r="C20" i="3"/>
  <c r="C21" i="3"/>
  <c r="C22" i="3"/>
  <c r="C23" i="3"/>
  <c r="C24" i="3"/>
  <c r="C25" i="3"/>
  <c r="C26" i="3"/>
  <c r="C27" i="3"/>
  <c r="C18" i="3"/>
  <c r="E40" i="3"/>
  <c r="E39" i="3"/>
  <c r="E38" i="3"/>
  <c r="E37" i="3"/>
  <c r="E36" i="3"/>
  <c r="E35" i="3"/>
  <c r="E34" i="3"/>
  <c r="E33" i="3"/>
  <c r="E32" i="3"/>
  <c r="E31" i="3"/>
  <c r="B27" i="3"/>
  <c r="B26" i="3"/>
  <c r="B25" i="3"/>
  <c r="B24" i="3"/>
  <c r="B23" i="3"/>
  <c r="B22" i="3"/>
  <c r="B21" i="3"/>
  <c r="B20" i="3"/>
  <c r="B19" i="3"/>
  <c r="B18" i="3"/>
</calcChain>
</file>

<file path=xl/sharedStrings.xml><?xml version="1.0" encoding="utf-8"?>
<sst xmlns="http://schemas.openxmlformats.org/spreadsheetml/2006/main" count="79" uniqueCount="36">
  <si>
    <t>Receitas</t>
  </si>
  <si>
    <t>Despesas</t>
  </si>
  <si>
    <t xml:space="preserve">Receitas - Correção IPCA </t>
  </si>
  <si>
    <t xml:space="preserve">Receitas Correntes </t>
  </si>
  <si>
    <t>Receita tributaria</t>
  </si>
  <si>
    <t xml:space="preserve">Receitas de Capital </t>
  </si>
  <si>
    <t>Transferencias correntes</t>
  </si>
  <si>
    <t xml:space="preserve">Despesas (Exceto Intraorçamentárias) </t>
  </si>
  <si>
    <t xml:space="preserve">Saúde </t>
  </si>
  <si>
    <t>Educação</t>
  </si>
  <si>
    <t>IPTU</t>
  </si>
  <si>
    <t>ISSQN</t>
  </si>
  <si>
    <t>IPTU - Correção IPCA</t>
  </si>
  <si>
    <t>ISSQN - Correção IPCA</t>
  </si>
  <si>
    <t xml:space="preserve">Fator de correção </t>
  </si>
  <si>
    <t xml:space="preserve">População </t>
  </si>
  <si>
    <t xml:space="preserve">PIB Municipal </t>
  </si>
  <si>
    <t>PIB Municipal - Correção IPCA</t>
  </si>
  <si>
    <t>Despesas – Correção IPCA</t>
  </si>
  <si>
    <t>Londrina - PR</t>
  </si>
  <si>
    <t>IDEB Londrina</t>
  </si>
  <si>
    <t>Cascavel - PR</t>
  </si>
  <si>
    <r>
      <t>No último censo </t>
    </r>
    <r>
      <rPr>
        <sz val="7.5"/>
        <color rgb="FF000000"/>
        <rFont val="Open Sans"/>
        <family val="2"/>
        <charset val="1"/>
      </rPr>
      <t>[2022]</t>
    </r>
  </si>
  <si>
    <t>CHINA</t>
  </si>
  <si>
    <t xml:space="preserve">INDICADORES </t>
  </si>
  <si>
    <t>PIB (Bilhões em USD)</t>
  </si>
  <si>
    <t>Receitas Geral (% do PIB)</t>
  </si>
  <si>
    <t>Despesas Totais (% do PIB)</t>
  </si>
  <si>
    <t>Equilibrio Estrutural (% do PIB)</t>
  </si>
  <si>
    <t>Divida Bruta (% do PIB)</t>
  </si>
  <si>
    <t>Correção CPI</t>
  </si>
  <si>
    <t xml:space="preserve">Despesas Totais </t>
  </si>
  <si>
    <t xml:space="preserve">Divida Bruta </t>
  </si>
  <si>
    <t xml:space="preserve">Receitas Geral - Bilhões </t>
  </si>
  <si>
    <t xml:space="preserve">Saldo Fiscal </t>
  </si>
  <si>
    <t>1.411,75 -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</si>
</sst>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 &quot;#,##0;[Red]&quot;-R$ &quot;#,##0"/>
    <numFmt numFmtId="165" formatCode="&quot;R$ &quot;#,##0.00;[Red]&quot;-R$ &quot;#,##0.00"/>
  </numFmts>
  <fonts count="10" x14ac:knownFonts="1"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rgb="FF000000"/>
      <name val="Verdana"/>
      <family val="2"/>
      <charset val="1"/>
    </font>
    <font>
      <sz val="10"/>
      <color rgb="FF000000"/>
      <name val="Open Sans"/>
      <family val="2"/>
      <charset val="1"/>
    </font>
    <font>
      <sz val="7.5"/>
      <color rgb="FF000000"/>
      <name val="Open Sans"/>
      <family val="2"/>
      <charset val="1"/>
    </font>
    <font>
      <b/>
      <sz val="14"/>
      <color rgb="FF000000"/>
      <name val="Open Sans"/>
      <family val="2"/>
      <charset val="1"/>
    </font>
    <font>
      <sz val="20"/>
      <color rgb="FF000000"/>
      <name val="Calibri"/>
      <family val="2"/>
      <charset val="1"/>
    </font>
    <font>
      <sz val="22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9" fontId="9" fillId="0" borderId="0" applyFont="0" applyFill="0" applyBorder="0" applyAlignment="0" applyProtection="0"/>
  </cellStyleXfs>
  <cellXfs count="61">
    <xf numFmtId="0" fontId="0" fillId="0" borderId="0" xfId="0"/>
    <xf numFmtId="165" fontId="0" fillId="0" borderId="2" xfId="0" applyNumberFormat="1" applyBorder="1"/>
    <xf numFmtId="165" fontId="0" fillId="0" borderId="3" xfId="0" applyNumberFormat="1" applyBorder="1"/>
    <xf numFmtId="0" fontId="3" fillId="0" borderId="0" xfId="0" applyFont="1"/>
    <xf numFmtId="165" fontId="0" fillId="0" borderId="4" xfId="0" applyNumberFormat="1" applyBorder="1"/>
    <xf numFmtId="3" fontId="5" fillId="0" borderId="0" xfId="0" applyNumberFormat="1" applyFont="1"/>
    <xf numFmtId="0" fontId="6" fillId="0" borderId="0" xfId="0" applyFont="1" applyAlignment="1">
      <alignment vertical="center"/>
    </xf>
    <xf numFmtId="0" fontId="8" fillId="0" borderId="1" xfId="0" applyFont="1" applyBorder="1"/>
    <xf numFmtId="0" fontId="8" fillId="0" borderId="5" xfId="0" applyFont="1" applyBorder="1"/>
    <xf numFmtId="0" fontId="8" fillId="0" borderId="2" xfId="0" applyFont="1" applyBorder="1"/>
    <xf numFmtId="0" fontId="8" fillId="0" borderId="4" xfId="0" applyFont="1" applyBorder="1"/>
    <xf numFmtId="0" fontId="8" fillId="0" borderId="8" xfId="0" applyFont="1" applyBorder="1"/>
    <xf numFmtId="0" fontId="8" fillId="0" borderId="3" xfId="0" applyFont="1" applyBorder="1"/>
    <xf numFmtId="0" fontId="8" fillId="0" borderId="3" xfId="0" applyFont="1" applyBorder="1" applyAlignment="1">
      <alignment wrapText="1"/>
    </xf>
    <xf numFmtId="0" fontId="8" fillId="0" borderId="14" xfId="0" applyFont="1" applyBorder="1"/>
    <xf numFmtId="0" fontId="0" fillId="0" borderId="14" xfId="0" applyBorder="1"/>
    <xf numFmtId="0" fontId="2" fillId="0" borderId="14" xfId="0" applyFont="1" applyBorder="1"/>
    <xf numFmtId="0" fontId="3" fillId="0" borderId="14" xfId="0" applyFont="1" applyBorder="1"/>
    <xf numFmtId="164" fontId="0" fillId="0" borderId="14" xfId="0" applyNumberFormat="1" applyBorder="1"/>
    <xf numFmtId="165" fontId="0" fillId="0" borderId="14" xfId="0" applyNumberFormat="1" applyBorder="1"/>
    <xf numFmtId="0" fontId="8" fillId="0" borderId="14" xfId="0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44" fontId="0" fillId="0" borderId="3" xfId="0" applyNumberFormat="1" applyBorder="1"/>
    <xf numFmtId="44" fontId="0" fillId="0" borderId="4" xfId="0" applyNumberFormat="1" applyBorder="1"/>
    <xf numFmtId="44" fontId="0" fillId="0" borderId="0" xfId="1" applyFont="1" applyBorder="1"/>
    <xf numFmtId="44" fontId="0" fillId="0" borderId="11" xfId="1" applyFont="1" applyBorder="1"/>
    <xf numFmtId="0" fontId="6" fillId="2" borderId="6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6" fillId="4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3" fontId="5" fillId="0" borderId="16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0" fontId="2" fillId="0" borderId="17" xfId="0" applyFont="1" applyBorder="1"/>
    <xf numFmtId="0" fontId="0" fillId="0" borderId="18" xfId="0" applyBorder="1"/>
    <xf numFmtId="0" fontId="8" fillId="0" borderId="13" xfId="0" applyFont="1" applyBorder="1"/>
    <xf numFmtId="0" fontId="8" fillId="0" borderId="10" xfId="0" applyFont="1" applyBorder="1"/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44" fontId="0" fillId="0" borderId="9" xfId="1" applyFont="1" applyBorder="1"/>
    <xf numFmtId="44" fontId="0" fillId="0" borderId="7" xfId="1" applyFont="1" applyBorder="1"/>
    <xf numFmtId="10" fontId="2" fillId="0" borderId="14" xfId="2" applyNumberFormat="1" applyFont="1" applyBorder="1"/>
    <xf numFmtId="0" fontId="8" fillId="0" borderId="26" xfId="0" applyFont="1" applyBorder="1"/>
    <xf numFmtId="0" fontId="3" fillId="0" borderId="26" xfId="0" applyFont="1" applyBorder="1"/>
    <xf numFmtId="10" fontId="2" fillId="0" borderId="0" xfId="2" applyNumberFormat="1" applyFont="1" applyFill="1" applyBorder="1"/>
    <xf numFmtId="44" fontId="1" fillId="0" borderId="2" xfId="1" applyBorder="1"/>
    <xf numFmtId="44" fontId="1" fillId="0" borderId="5" xfId="1" applyBorder="1"/>
    <xf numFmtId="44" fontId="8" fillId="0" borderId="10" xfId="0" applyNumberFormat="1" applyFont="1" applyBorder="1"/>
    <xf numFmtId="44" fontId="8" fillId="0" borderId="13" xfId="0" applyNumberFormat="1" applyFont="1" applyBorder="1"/>
    <xf numFmtId="44" fontId="0" fillId="0" borderId="19" xfId="1" applyFont="1" applyBorder="1"/>
    <xf numFmtId="165" fontId="0" fillId="0" borderId="19" xfId="0" applyNumberFormat="1" applyBorder="1"/>
    <xf numFmtId="0" fontId="0" fillId="0" borderId="19" xfId="0" applyBorder="1"/>
    <xf numFmtId="0" fontId="8" fillId="0" borderId="12" xfId="0" applyFont="1" applyBorder="1"/>
    <xf numFmtId="44" fontId="0" fillId="0" borderId="19" xfId="0" applyNumberFormat="1" applyBorder="1"/>
    <xf numFmtId="4" fontId="5" fillId="0" borderId="27" xfId="0" applyNumberFormat="1" applyFont="1" applyBorder="1" applyAlignment="1">
      <alignment horizontal="center" vertical="center"/>
    </xf>
    <xf numFmtId="4" fontId="5" fillId="0" borderId="28" xfId="0" applyNumberFormat="1" applyFont="1" applyBorder="1" applyAlignment="1">
      <alignment horizontal="center" vertical="center"/>
    </xf>
    <xf numFmtId="4" fontId="5" fillId="0" borderId="29" xfId="0" applyNumberFormat="1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1"/>
  <sheetViews>
    <sheetView showGridLines="0" tabSelected="1" zoomScale="80" zoomScaleNormal="80" workbookViewId="0">
      <selection activeCell="A18" sqref="A18:A27"/>
    </sheetView>
  </sheetViews>
  <sheetFormatPr baseColWidth="10" defaultColWidth="11.5" defaultRowHeight="15" x14ac:dyDescent="0.2"/>
  <cols>
    <col min="1" max="1" width="22.5" customWidth="1"/>
    <col min="2" max="3" width="22" customWidth="1"/>
    <col min="4" max="4" width="17.33203125" customWidth="1"/>
    <col min="5" max="8" width="33.33203125" customWidth="1"/>
    <col min="9" max="9" width="18.1640625" customWidth="1"/>
    <col min="10" max="10" width="25.83203125" customWidth="1"/>
    <col min="11" max="11" width="26.5" customWidth="1"/>
    <col min="12" max="12" width="20.33203125" customWidth="1"/>
  </cols>
  <sheetData>
    <row r="1" spans="1:24" ht="30" thickBot="1" x14ac:dyDescent="0.4">
      <c r="A1" s="27" t="s">
        <v>19</v>
      </c>
      <c r="B1" s="27"/>
      <c r="C1" s="27"/>
      <c r="D1" s="27"/>
      <c r="E1" s="27"/>
      <c r="F1" s="27"/>
      <c r="G1" s="27"/>
      <c r="H1" s="27"/>
      <c r="I1" s="27"/>
    </row>
    <row r="2" spans="1:24" ht="27" thickBot="1" x14ac:dyDescent="0.25">
      <c r="A2" s="28" t="s">
        <v>0</v>
      </c>
      <c r="B2" s="28"/>
      <c r="C2" s="28"/>
      <c r="D2" s="28"/>
      <c r="E2" s="28"/>
      <c r="F2" s="28"/>
      <c r="G2" s="28"/>
      <c r="H2" s="26" t="s">
        <v>1</v>
      </c>
      <c r="I2" s="26"/>
      <c r="J2" s="26"/>
    </row>
    <row r="3" spans="1:24" ht="16" x14ac:dyDescent="0.2">
      <c r="A3">
        <v>4113700</v>
      </c>
      <c r="B3" s="9" t="s">
        <v>3</v>
      </c>
      <c r="C3" s="12" t="s">
        <v>4</v>
      </c>
      <c r="D3" s="12" t="s">
        <v>5</v>
      </c>
      <c r="E3" s="13" t="s">
        <v>6</v>
      </c>
      <c r="F3" s="9" t="s">
        <v>10</v>
      </c>
      <c r="G3" s="10" t="s">
        <v>11</v>
      </c>
      <c r="H3" s="12" t="s">
        <v>7</v>
      </c>
      <c r="I3" s="12" t="s">
        <v>8</v>
      </c>
      <c r="J3" s="10" t="s">
        <v>9</v>
      </c>
      <c r="X3" s="3"/>
    </row>
    <row r="4" spans="1:24" x14ac:dyDescent="0.2">
      <c r="A4" s="55">
        <v>2013</v>
      </c>
      <c r="B4" s="53">
        <v>1128168668.8499999</v>
      </c>
      <c r="C4" s="53">
        <v>362760737.18000001</v>
      </c>
      <c r="D4" s="53">
        <v>14213802.42</v>
      </c>
      <c r="E4" s="53">
        <v>587269969.50999999</v>
      </c>
      <c r="F4" s="53">
        <v>112673986.09</v>
      </c>
      <c r="G4" s="53">
        <v>137893218.28</v>
      </c>
      <c r="H4" s="53">
        <v>1095891123.4000001</v>
      </c>
      <c r="I4" s="53">
        <v>410370946.18000001</v>
      </c>
      <c r="J4" s="53">
        <v>214519172.93000001</v>
      </c>
    </row>
    <row r="5" spans="1:24" x14ac:dyDescent="0.2">
      <c r="A5" s="55">
        <v>2014</v>
      </c>
      <c r="B5" s="53">
        <v>1311641806.25</v>
      </c>
      <c r="C5" s="53">
        <v>411899527.56999999</v>
      </c>
      <c r="D5" s="54">
        <v>17028208.5</v>
      </c>
      <c r="E5" s="53">
        <v>670496891.19000006</v>
      </c>
      <c r="F5" s="53">
        <v>122314869.40000001</v>
      </c>
      <c r="G5" s="53">
        <v>156718657.09</v>
      </c>
      <c r="H5" s="53">
        <v>1223963153.55</v>
      </c>
      <c r="I5" s="53">
        <v>463025071.85000002</v>
      </c>
      <c r="J5" s="53">
        <v>240994969.53999999</v>
      </c>
    </row>
    <row r="6" spans="1:24" x14ac:dyDescent="0.2">
      <c r="A6" s="55">
        <v>2015</v>
      </c>
      <c r="B6" s="53">
        <v>1488303547.8299999</v>
      </c>
      <c r="C6" s="53">
        <v>430795111.13</v>
      </c>
      <c r="D6" s="53">
        <v>52733224.590000004</v>
      </c>
      <c r="E6" s="53">
        <v>751560847.23000002</v>
      </c>
      <c r="F6" s="53">
        <v>132466852.16</v>
      </c>
      <c r="G6" s="53">
        <v>166118999.09</v>
      </c>
      <c r="H6" s="53">
        <v>1446388849.3900001</v>
      </c>
      <c r="I6" s="53">
        <v>518801342.29000002</v>
      </c>
      <c r="J6" s="53">
        <v>277659602.77999997</v>
      </c>
    </row>
    <row r="7" spans="1:24" ht="20" x14ac:dyDescent="0.25">
      <c r="A7" s="55">
        <v>2016</v>
      </c>
      <c r="B7" s="53">
        <v>1639797242.54</v>
      </c>
      <c r="C7" s="53">
        <v>476914559.88999999</v>
      </c>
      <c r="D7" s="53">
        <v>41926499.259999998</v>
      </c>
      <c r="E7" s="53">
        <v>813242208.36000001</v>
      </c>
      <c r="F7" s="53">
        <v>148994319.36000001</v>
      </c>
      <c r="G7" s="53">
        <v>180705350.56</v>
      </c>
      <c r="H7" s="53">
        <v>1614833009.0599999</v>
      </c>
      <c r="I7" s="53">
        <v>565998153.11000001</v>
      </c>
      <c r="J7" s="53">
        <v>324145992.68000001</v>
      </c>
      <c r="X7" s="5"/>
    </row>
    <row r="8" spans="1:24" x14ac:dyDescent="0.2">
      <c r="A8" s="55">
        <v>2017</v>
      </c>
      <c r="B8" s="53">
        <v>1729603627.22</v>
      </c>
      <c r="C8" s="53">
        <v>520833830.42000002</v>
      </c>
      <c r="D8" s="53">
        <v>22247067.219999999</v>
      </c>
      <c r="E8" s="53">
        <v>872577941.62</v>
      </c>
      <c r="F8" s="53">
        <v>165573360.13999999</v>
      </c>
      <c r="G8" s="53">
        <v>186751804.09999999</v>
      </c>
      <c r="H8" s="53">
        <v>1660642155.79</v>
      </c>
      <c r="I8" s="53">
        <v>599515962.26999998</v>
      </c>
      <c r="J8" s="53">
        <v>334322152.69999999</v>
      </c>
    </row>
    <row r="9" spans="1:24" x14ac:dyDescent="0.2">
      <c r="A9" s="55">
        <v>2018</v>
      </c>
      <c r="B9" s="53">
        <v>1748490045.3499999</v>
      </c>
      <c r="C9" s="53">
        <v>647140996.34000003</v>
      </c>
      <c r="D9" s="53">
        <v>15320643.75</v>
      </c>
      <c r="E9" s="53">
        <v>850478597.11000001</v>
      </c>
      <c r="F9" s="53">
        <v>242386325.75999999</v>
      </c>
      <c r="G9" s="53">
        <v>208383331.12</v>
      </c>
      <c r="H9" s="53">
        <v>1871293495.74</v>
      </c>
      <c r="I9" s="53">
        <v>651467911.41999996</v>
      </c>
      <c r="J9" s="53">
        <v>367289281.80000001</v>
      </c>
    </row>
    <row r="10" spans="1:24" x14ac:dyDescent="0.2">
      <c r="A10" s="55">
        <v>2019</v>
      </c>
      <c r="B10" s="53">
        <v>2078101123</v>
      </c>
      <c r="C10" s="53">
        <v>844781761.27999997</v>
      </c>
      <c r="D10" s="53">
        <v>37189168.770000003</v>
      </c>
      <c r="E10" s="53">
        <v>947456536.14999998</v>
      </c>
      <c r="F10" s="53">
        <v>364227419.56</v>
      </c>
      <c r="G10" s="53">
        <v>253879353.41999999</v>
      </c>
      <c r="H10" s="53">
        <v>2102662213.23</v>
      </c>
      <c r="I10" s="53">
        <v>710198025.84000003</v>
      </c>
      <c r="J10" s="53">
        <v>411163491.19</v>
      </c>
    </row>
    <row r="11" spans="1:24" x14ac:dyDescent="0.2">
      <c r="A11" s="55">
        <v>2020</v>
      </c>
      <c r="B11" s="53">
        <v>2357181838.8899999</v>
      </c>
      <c r="C11" s="53">
        <v>888597128.46000004</v>
      </c>
      <c r="D11" s="53">
        <v>65971624.840000004</v>
      </c>
      <c r="E11" s="53">
        <v>1145279470.1500001</v>
      </c>
      <c r="F11" s="53">
        <v>392815545.25</v>
      </c>
      <c r="G11" s="53">
        <v>240163558.97999999</v>
      </c>
      <c r="H11" s="53">
        <v>2199665070.5500002</v>
      </c>
      <c r="I11" s="53">
        <v>799692232.10000002</v>
      </c>
      <c r="J11" s="53">
        <v>387482015.75999999</v>
      </c>
    </row>
    <row r="12" spans="1:24" x14ac:dyDescent="0.2">
      <c r="A12" s="55">
        <v>2021</v>
      </c>
      <c r="B12" s="53">
        <v>2442418082.6300001</v>
      </c>
      <c r="C12" s="53">
        <v>992590204.27999997</v>
      </c>
      <c r="D12" s="53">
        <v>47031810.380000003</v>
      </c>
      <c r="E12" s="53">
        <v>1146100106.96</v>
      </c>
      <c r="F12" s="53">
        <v>417837825.62</v>
      </c>
      <c r="G12" s="53">
        <v>301453590.02999997</v>
      </c>
      <c r="H12" s="53">
        <v>2413536125.4499998</v>
      </c>
      <c r="I12" s="53">
        <v>840178592.19000006</v>
      </c>
      <c r="J12" s="53">
        <v>453084538.43000001</v>
      </c>
    </row>
    <row r="13" spans="1:24" x14ac:dyDescent="0.2">
      <c r="A13" s="55">
        <v>2022</v>
      </c>
      <c r="B13" s="53">
        <v>2801047463.4899998</v>
      </c>
      <c r="C13" s="53">
        <v>1123191655.24</v>
      </c>
      <c r="D13" s="53">
        <v>66947179.700000003</v>
      </c>
      <c r="E13" s="53">
        <v>1307329295.1500001</v>
      </c>
      <c r="F13" s="53">
        <v>461813044.31999999</v>
      </c>
      <c r="G13" s="53">
        <v>344770279.67000002</v>
      </c>
      <c r="H13" s="53">
        <v>2617493077.0900002</v>
      </c>
      <c r="I13" s="53">
        <v>799072837.83000004</v>
      </c>
      <c r="J13" s="53">
        <v>592146608.24000001</v>
      </c>
    </row>
    <row r="16" spans="1:24" ht="27" thickBot="1" x14ac:dyDescent="0.25">
      <c r="A16" s="28" t="s">
        <v>2</v>
      </c>
      <c r="B16" s="28"/>
      <c r="C16" s="28"/>
      <c r="D16" s="28"/>
      <c r="E16" s="28"/>
      <c r="F16" s="28"/>
      <c r="G16" s="28"/>
      <c r="H16" s="29" t="s">
        <v>18</v>
      </c>
      <c r="I16" s="29"/>
      <c r="J16" s="29"/>
      <c r="K16" s="6"/>
      <c r="L16" s="6"/>
    </row>
    <row r="17" spans="1:10" ht="17" thickBot="1" x14ac:dyDescent="0.25">
      <c r="A17">
        <v>4113700</v>
      </c>
      <c r="B17" s="9" t="s">
        <v>3</v>
      </c>
      <c r="C17" s="12" t="s">
        <v>4</v>
      </c>
      <c r="D17" s="12" t="s">
        <v>5</v>
      </c>
      <c r="E17" s="13" t="s">
        <v>6</v>
      </c>
      <c r="F17" s="8" t="s">
        <v>12</v>
      </c>
      <c r="G17" s="11" t="s">
        <v>13</v>
      </c>
      <c r="H17" s="9" t="s">
        <v>7</v>
      </c>
      <c r="I17" s="12" t="s">
        <v>8</v>
      </c>
      <c r="J17" s="10" t="s">
        <v>9</v>
      </c>
    </row>
    <row r="18" spans="1:10" ht="16" thickBot="1" x14ac:dyDescent="0.25">
      <c r="A18" s="55">
        <v>2013</v>
      </c>
      <c r="B18" s="2">
        <f>B4*B31</f>
        <v>1931929955.001111</v>
      </c>
      <c r="C18" s="2">
        <f>C4*B31</f>
        <v>621208826.31026924</v>
      </c>
      <c r="D18" s="2">
        <f>D4*B31</f>
        <v>24340394.683763675</v>
      </c>
      <c r="E18" s="4">
        <f>E4*B31</f>
        <v>1005669167.2934666</v>
      </c>
      <c r="F18" s="22">
        <f>F4*B31</f>
        <v>192948319.59705111</v>
      </c>
      <c r="G18" s="23">
        <f>G4*B31</f>
        <v>236134938.2785058</v>
      </c>
      <c r="H18" s="1">
        <f>H4*B31</f>
        <v>1876656343.3058589</v>
      </c>
      <c r="I18" s="2">
        <f>I4*B31</f>
        <v>702738823.96985948</v>
      </c>
      <c r="J18" s="4">
        <f>J4*B31</f>
        <v>367352885.7417981</v>
      </c>
    </row>
    <row r="19" spans="1:10" ht="16" thickBot="1" x14ac:dyDescent="0.25">
      <c r="A19" s="55">
        <v>2014</v>
      </c>
      <c r="B19" s="2">
        <f t="shared" ref="B19:B27" si="0">B5*B32</f>
        <v>2107933906.7646079</v>
      </c>
      <c r="C19" s="2">
        <f t="shared" ref="C19:C27" si="1">C5*B32</f>
        <v>661961959.58977842</v>
      </c>
      <c r="D19" s="2">
        <f t="shared" ref="D19:D27" si="2">D5*B32</f>
        <v>27365960.659053449</v>
      </c>
      <c r="E19" s="4">
        <f t="shared" ref="E19:E27" si="3">E5*B32</f>
        <v>1077552670.6948168</v>
      </c>
      <c r="F19" s="22">
        <f t="shared" ref="F19:F27" si="4">F5*B32</f>
        <v>196571700.65880159</v>
      </c>
      <c r="G19" s="23">
        <f t="shared" ref="G19:G27" si="5">G5*B32</f>
        <v>251861879.91911352</v>
      </c>
      <c r="H19" s="1">
        <f t="shared" ref="H19:H27" si="6">H5*B32</f>
        <v>1967025921.0286446</v>
      </c>
      <c r="I19" s="2">
        <f t="shared" ref="I19:I27" si="7">I5*B32</f>
        <v>744125601.96232605</v>
      </c>
      <c r="J19" s="4">
        <f t="shared" ref="J19:J27" si="8">J5*B32</f>
        <v>387301979.26936495</v>
      </c>
    </row>
    <row r="20" spans="1:10" ht="16" thickBot="1" x14ac:dyDescent="0.25">
      <c r="A20" s="55">
        <v>2015</v>
      </c>
      <c r="B20" s="2">
        <f t="shared" si="0"/>
        <v>2165033385.0640435</v>
      </c>
      <c r="C20" s="2">
        <f t="shared" si="1"/>
        <v>626677131.20667768</v>
      </c>
      <c r="D20" s="2">
        <f t="shared" si="2"/>
        <v>76710958.531203493</v>
      </c>
      <c r="E20" s="4">
        <f t="shared" si="3"/>
        <v>1093294662.5924644</v>
      </c>
      <c r="F20" s="22">
        <f t="shared" si="4"/>
        <v>192699370.8769294</v>
      </c>
      <c r="G20" s="23">
        <f t="shared" si="5"/>
        <v>241653108.6334241</v>
      </c>
      <c r="H20" s="1">
        <f t="shared" si="6"/>
        <v>2104060123.541014</v>
      </c>
      <c r="I20" s="2">
        <f t="shared" si="7"/>
        <v>754699690.06765234</v>
      </c>
      <c r="J20" s="4">
        <f t="shared" si="8"/>
        <v>403911090.97254264</v>
      </c>
    </row>
    <row r="21" spans="1:10" ht="16" thickBot="1" x14ac:dyDescent="0.25">
      <c r="A21" s="55">
        <v>2016</v>
      </c>
      <c r="B21" s="2">
        <f t="shared" si="0"/>
        <v>2229617552.5064549</v>
      </c>
      <c r="C21" s="2">
        <f t="shared" si="1"/>
        <v>648456434.85139394</v>
      </c>
      <c r="D21" s="2">
        <f t="shared" si="2"/>
        <v>57007083.705328658</v>
      </c>
      <c r="E21" s="4">
        <f t="shared" si="3"/>
        <v>1105758111.5272167</v>
      </c>
      <c r="F21" s="22">
        <f t="shared" si="4"/>
        <v>202586235.08491778</v>
      </c>
      <c r="G21" s="23">
        <f t="shared" si="5"/>
        <v>245703438.80827695</v>
      </c>
      <c r="H21" s="1">
        <f t="shared" si="6"/>
        <v>2195673908.9218001</v>
      </c>
      <c r="I21" s="2">
        <f t="shared" si="7"/>
        <v>769582594.80028903</v>
      </c>
      <c r="J21" s="4">
        <f t="shared" si="8"/>
        <v>440738388.9330619</v>
      </c>
    </row>
    <row r="22" spans="1:10" ht="16" thickBot="1" x14ac:dyDescent="0.25">
      <c r="A22" s="55">
        <v>2017</v>
      </c>
      <c r="B22" s="2">
        <f t="shared" si="0"/>
        <v>2287585864.5865626</v>
      </c>
      <c r="C22" s="2">
        <f t="shared" si="1"/>
        <v>688858469.95030499</v>
      </c>
      <c r="D22" s="2">
        <f t="shared" si="2"/>
        <v>29424126.834642541</v>
      </c>
      <c r="E22" s="4">
        <f t="shared" si="3"/>
        <v>1154077693.6322033</v>
      </c>
      <c r="F22" s="22">
        <f t="shared" si="4"/>
        <v>218988485.13468498</v>
      </c>
      <c r="G22" s="23">
        <f t="shared" si="5"/>
        <v>246999243.3652887</v>
      </c>
      <c r="H22" s="1">
        <f t="shared" si="6"/>
        <v>2196376939.7429447</v>
      </c>
      <c r="I22" s="2">
        <f t="shared" si="7"/>
        <v>792924008.31003797</v>
      </c>
      <c r="J22" s="4">
        <f t="shared" si="8"/>
        <v>442176819.41608894</v>
      </c>
    </row>
    <row r="23" spans="1:10" ht="16" thickBot="1" x14ac:dyDescent="0.25">
      <c r="A23" s="55">
        <v>2018</v>
      </c>
      <c r="B23" s="2">
        <f t="shared" si="0"/>
        <v>2222639630.9818587</v>
      </c>
      <c r="C23" s="2">
        <f t="shared" si="1"/>
        <v>822630491.44809365</v>
      </c>
      <c r="D23" s="2">
        <f t="shared" si="2"/>
        <v>19475243.831936251</v>
      </c>
      <c r="E23" s="4">
        <f t="shared" si="3"/>
        <v>1081108491.4470596</v>
      </c>
      <c r="F23" s="22">
        <f t="shared" si="4"/>
        <v>308115825.46608919</v>
      </c>
      <c r="G23" s="23">
        <f t="shared" si="5"/>
        <v>264892014.34979579</v>
      </c>
      <c r="H23" s="1">
        <f t="shared" si="6"/>
        <v>2378744503.5168877</v>
      </c>
      <c r="I23" s="2">
        <f t="shared" si="7"/>
        <v>828130764.64797676</v>
      </c>
      <c r="J23" s="4">
        <f t="shared" si="8"/>
        <v>466889540.45496589</v>
      </c>
    </row>
    <row r="24" spans="1:10" ht="16" thickBot="1" x14ac:dyDescent="0.25">
      <c r="A24" s="55">
        <v>2019</v>
      </c>
      <c r="B24" s="2">
        <f t="shared" si="0"/>
        <v>2557867341.8243151</v>
      </c>
      <c r="C24" s="2">
        <f t="shared" si="1"/>
        <v>1039814499.0304866</v>
      </c>
      <c r="D24" s="2">
        <f t="shared" si="2"/>
        <v>45774942.909924857</v>
      </c>
      <c r="E24" s="4">
        <f t="shared" si="3"/>
        <v>1166193552.7552638</v>
      </c>
      <c r="F24" s="22">
        <f t="shared" si="4"/>
        <v>448315729.76801026</v>
      </c>
      <c r="G24" s="23">
        <f t="shared" si="5"/>
        <v>312491870.43362719</v>
      </c>
      <c r="H24" s="1">
        <f t="shared" si="6"/>
        <v>2588098792.0090985</v>
      </c>
      <c r="I24" s="2">
        <f t="shared" si="7"/>
        <v>874159739.59041882</v>
      </c>
      <c r="J24" s="4">
        <f t="shared" si="8"/>
        <v>506087819.60865647</v>
      </c>
    </row>
    <row r="25" spans="1:10" ht="16" thickBot="1" x14ac:dyDescent="0.25">
      <c r="A25" s="55">
        <v>2020</v>
      </c>
      <c r="B25" s="2">
        <f t="shared" si="0"/>
        <v>2781467262.6264992</v>
      </c>
      <c r="C25" s="2">
        <f t="shared" si="1"/>
        <v>1048541856.9317018</v>
      </c>
      <c r="D25" s="2">
        <f t="shared" si="2"/>
        <v>77846312.799162999</v>
      </c>
      <c r="E25" s="4">
        <f t="shared" si="3"/>
        <v>1351426224.4106426</v>
      </c>
      <c r="F25" s="22">
        <f t="shared" si="4"/>
        <v>463521125.66680968</v>
      </c>
      <c r="G25" s="23">
        <f t="shared" si="5"/>
        <v>283392255.08936715</v>
      </c>
      <c r="H25" s="1">
        <f t="shared" si="6"/>
        <v>2595597964.2872815</v>
      </c>
      <c r="I25" s="2">
        <f t="shared" si="7"/>
        <v>943634354.83208048</v>
      </c>
      <c r="J25" s="4">
        <f t="shared" si="8"/>
        <v>457227577.40255111</v>
      </c>
    </row>
    <row r="26" spans="1:10" ht="16" thickBot="1" x14ac:dyDescent="0.25">
      <c r="A26" s="55">
        <v>2021</v>
      </c>
      <c r="B26" s="2">
        <f t="shared" si="0"/>
        <v>2602569146.0007071</v>
      </c>
      <c r="C26" s="2">
        <f t="shared" si="1"/>
        <v>1057675038.7877827</v>
      </c>
      <c r="D26" s="2">
        <f t="shared" si="2"/>
        <v>50115719.108883873</v>
      </c>
      <c r="E26" s="4">
        <f t="shared" si="3"/>
        <v>1221250693.2434423</v>
      </c>
      <c r="F26" s="22">
        <f t="shared" si="4"/>
        <v>445235744.33238137</v>
      </c>
      <c r="G26" s="23">
        <f t="shared" si="5"/>
        <v>321220112.9457801</v>
      </c>
      <c r="H26" s="1">
        <f t="shared" si="6"/>
        <v>2571793378.6710443</v>
      </c>
      <c r="I26" s="2">
        <f t="shared" si="7"/>
        <v>895269690.604913</v>
      </c>
      <c r="J26" s="4">
        <f t="shared" si="8"/>
        <v>482793608.77403206</v>
      </c>
    </row>
    <row r="27" spans="1:10" x14ac:dyDescent="0.2">
      <c r="A27" s="55">
        <v>2022</v>
      </c>
      <c r="B27" s="2">
        <f t="shared" si="0"/>
        <v>2818413957.7636375</v>
      </c>
      <c r="C27" s="2">
        <f t="shared" si="1"/>
        <v>1130155443.5024879</v>
      </c>
      <c r="D27" s="2">
        <f t="shared" si="2"/>
        <v>67362252.214139998</v>
      </c>
      <c r="E27" s="4">
        <f t="shared" si="3"/>
        <v>1315434736.7799301</v>
      </c>
      <c r="F27" s="22">
        <f t="shared" si="4"/>
        <v>464676285.19478399</v>
      </c>
      <c r="G27" s="23">
        <f t="shared" si="5"/>
        <v>346907855.40395403</v>
      </c>
      <c r="H27" s="1">
        <f t="shared" si="6"/>
        <v>2633721534.1679583</v>
      </c>
      <c r="I27" s="2">
        <f t="shared" si="7"/>
        <v>804027089.424546</v>
      </c>
      <c r="J27" s="4">
        <f t="shared" si="8"/>
        <v>595817917.21108794</v>
      </c>
    </row>
    <row r="29" spans="1:10" ht="16" thickBot="1" x14ac:dyDescent="0.25"/>
    <row r="30" spans="1:10" ht="17" thickTop="1" thickBot="1" x14ac:dyDescent="0.25">
      <c r="A30" s="34">
        <v>4113700</v>
      </c>
      <c r="B30" s="14" t="s">
        <v>14</v>
      </c>
      <c r="C30" s="14" t="s">
        <v>15</v>
      </c>
      <c r="D30" s="14" t="s">
        <v>16</v>
      </c>
      <c r="E30" s="20" t="s">
        <v>17</v>
      </c>
      <c r="F30" s="20"/>
      <c r="G30" s="15" t="s">
        <v>20</v>
      </c>
    </row>
    <row r="31" spans="1:10" ht="17" thickTop="1" thickBot="1" x14ac:dyDescent="0.25">
      <c r="A31" s="33">
        <v>2013</v>
      </c>
      <c r="B31" s="16">
        <v>1.7124478000000001</v>
      </c>
      <c r="C31" s="17" t="s">
        <v>22</v>
      </c>
      <c r="D31" s="19">
        <v>8433444</v>
      </c>
      <c r="E31" s="21">
        <f>D31*B31</f>
        <v>14441832.624223201</v>
      </c>
      <c r="F31" s="21"/>
      <c r="G31" s="15">
        <v>6.4</v>
      </c>
    </row>
    <row r="32" spans="1:10" ht="22" customHeight="1" thickTop="1" thickBot="1" x14ac:dyDescent="0.25">
      <c r="A32" s="16">
        <v>2014</v>
      </c>
      <c r="B32" s="16">
        <v>1.6070956999999999</v>
      </c>
      <c r="C32" s="30">
        <v>555965</v>
      </c>
      <c r="D32" s="19">
        <v>9467610</v>
      </c>
      <c r="E32" s="21">
        <f t="shared" ref="E32:E40" si="9">D32*B32</f>
        <v>15215355.320277</v>
      </c>
      <c r="F32" s="21"/>
      <c r="G32" s="15">
        <v>6.4</v>
      </c>
    </row>
    <row r="33" spans="1:7" ht="17" customHeight="1" thickTop="1" thickBot="1" x14ac:dyDescent="0.25">
      <c r="A33" s="16">
        <v>2015</v>
      </c>
      <c r="B33" s="16">
        <v>1.4546988000000001</v>
      </c>
      <c r="C33" s="31"/>
      <c r="D33" s="19">
        <v>10128220</v>
      </c>
      <c r="E33" s="21">
        <f t="shared" si="9"/>
        <v>14733509.480136001</v>
      </c>
      <c r="F33" s="21"/>
      <c r="G33" s="15">
        <v>6.5</v>
      </c>
    </row>
    <row r="34" spans="1:7" ht="17" customHeight="1" thickTop="1" thickBot="1" x14ac:dyDescent="0.25">
      <c r="A34" s="16">
        <v>2016</v>
      </c>
      <c r="B34" s="16">
        <v>1.359691</v>
      </c>
      <c r="C34" s="31"/>
      <c r="D34" s="19">
        <v>10816720</v>
      </c>
      <c r="E34" s="21">
        <f t="shared" si="9"/>
        <v>14707396.833519999</v>
      </c>
      <c r="F34" s="21"/>
      <c r="G34" s="15">
        <v>6.5</v>
      </c>
    </row>
    <row r="35" spans="1:7" ht="17" customHeight="1" thickTop="1" thickBot="1" x14ac:dyDescent="0.25">
      <c r="A35" s="16">
        <v>2017</v>
      </c>
      <c r="B35" s="16">
        <v>1.3226070000000001</v>
      </c>
      <c r="C35" s="31"/>
      <c r="D35" s="19">
        <v>11378218</v>
      </c>
      <c r="E35" s="21">
        <f t="shared" si="9"/>
        <v>15048910.774326</v>
      </c>
      <c r="F35" s="21"/>
      <c r="G35" s="15">
        <v>6.8</v>
      </c>
    </row>
    <row r="36" spans="1:7" ht="17" customHeight="1" thickTop="1" thickBot="1" x14ac:dyDescent="0.25">
      <c r="A36" s="16">
        <v>2018</v>
      </c>
      <c r="B36" s="16">
        <v>1.2711766</v>
      </c>
      <c r="C36" s="31"/>
      <c r="D36" s="19">
        <v>12243044</v>
      </c>
      <c r="E36" s="21">
        <f t="shared" si="9"/>
        <v>15563071.0455704</v>
      </c>
      <c r="F36" s="21"/>
      <c r="G36" s="15">
        <v>6.8</v>
      </c>
    </row>
    <row r="37" spans="1:7" ht="17" customHeight="1" thickTop="1" thickBot="1" x14ac:dyDescent="0.25">
      <c r="A37" s="16">
        <v>2019</v>
      </c>
      <c r="B37" s="16">
        <v>1.2308676000000001</v>
      </c>
      <c r="C37" s="31"/>
      <c r="D37" s="19">
        <v>12593335</v>
      </c>
      <c r="E37" s="21">
        <f t="shared" si="9"/>
        <v>15500728.027446</v>
      </c>
      <c r="F37" s="21"/>
      <c r="G37" s="15">
        <v>6.8</v>
      </c>
    </row>
    <row r="38" spans="1:7" ht="17" customHeight="1" thickTop="1" thickBot="1" x14ac:dyDescent="0.25">
      <c r="A38" s="16">
        <v>2020</v>
      </c>
      <c r="B38" s="16">
        <v>1.1799968999999999</v>
      </c>
      <c r="C38" s="31"/>
      <c r="D38" s="19">
        <v>14157376</v>
      </c>
      <c r="E38" s="21">
        <f t="shared" si="9"/>
        <v>16705659.792134399</v>
      </c>
      <c r="F38" s="21"/>
      <c r="G38" s="15">
        <v>6.8</v>
      </c>
    </row>
    <row r="39" spans="1:7" ht="17" customHeight="1" thickTop="1" thickBot="1" x14ac:dyDescent="0.25">
      <c r="A39" s="16">
        <v>2021</v>
      </c>
      <c r="B39" s="16">
        <v>1.0655707000000001</v>
      </c>
      <c r="C39" s="31"/>
      <c r="D39" s="19">
        <v>15786905</v>
      </c>
      <c r="E39" s="21">
        <f t="shared" si="9"/>
        <v>16822063.4116835</v>
      </c>
      <c r="F39" s="21"/>
      <c r="G39" s="15">
        <v>6.4</v>
      </c>
    </row>
    <row r="40" spans="1:7" ht="17" customHeight="1" thickTop="1" thickBot="1" x14ac:dyDescent="0.25">
      <c r="A40" s="16">
        <v>2022</v>
      </c>
      <c r="B40" s="16">
        <v>1.0062</v>
      </c>
      <c r="C40" s="32"/>
      <c r="D40" s="19">
        <v>18099793</v>
      </c>
      <c r="E40" s="21">
        <f t="shared" si="9"/>
        <v>18212011.716600001</v>
      </c>
      <c r="F40" s="21"/>
      <c r="G40" s="15">
        <v>6.4</v>
      </c>
    </row>
    <row r="41" spans="1:7" ht="16" thickTop="1" x14ac:dyDescent="0.2"/>
  </sheetData>
  <mergeCells count="6">
    <mergeCell ref="C32:C40"/>
    <mergeCell ref="H2:J2"/>
    <mergeCell ref="A1:I1"/>
    <mergeCell ref="A2:G2"/>
    <mergeCell ref="A16:G16"/>
    <mergeCell ref="H16:J16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0F7B-6858-0F45-B373-6B8A3771134A}">
  <dimension ref="A1:X41"/>
  <sheetViews>
    <sheetView showGridLines="0" zoomScaleNormal="80" workbookViewId="0">
      <selection activeCell="H31" sqref="H31"/>
    </sheetView>
  </sheetViews>
  <sheetFormatPr baseColWidth="10" defaultColWidth="11.5" defaultRowHeight="15" x14ac:dyDescent="0.2"/>
  <cols>
    <col min="1" max="1" width="22.5" customWidth="1"/>
    <col min="2" max="3" width="22" customWidth="1"/>
    <col min="4" max="4" width="20.83203125" customWidth="1"/>
    <col min="5" max="8" width="33.33203125" customWidth="1"/>
    <col min="9" max="9" width="18.1640625" customWidth="1"/>
    <col min="10" max="10" width="25.83203125" customWidth="1"/>
    <col min="11" max="11" width="26.5" customWidth="1"/>
    <col min="12" max="12" width="20.33203125" customWidth="1"/>
  </cols>
  <sheetData>
    <row r="1" spans="1:24" ht="30" thickBot="1" x14ac:dyDescent="0.4">
      <c r="A1" s="27" t="s">
        <v>21</v>
      </c>
      <c r="B1" s="27"/>
      <c r="C1" s="27"/>
      <c r="D1" s="27"/>
      <c r="E1" s="27"/>
      <c r="F1" s="27"/>
      <c r="G1" s="27"/>
      <c r="H1" s="27"/>
      <c r="I1" s="27"/>
    </row>
    <row r="2" spans="1:24" ht="27" thickBot="1" x14ac:dyDescent="0.25">
      <c r="A2" s="28" t="s">
        <v>0</v>
      </c>
      <c r="B2" s="28"/>
      <c r="C2" s="28"/>
      <c r="D2" s="28"/>
      <c r="E2" s="28"/>
      <c r="F2" s="28"/>
      <c r="G2" s="28"/>
      <c r="H2" s="26" t="s">
        <v>1</v>
      </c>
      <c r="I2" s="26"/>
      <c r="J2" s="26"/>
    </row>
    <row r="3" spans="1:24" ht="16" x14ac:dyDescent="0.2">
      <c r="A3" s="56">
        <v>4104808</v>
      </c>
      <c r="B3" s="9" t="s">
        <v>3</v>
      </c>
      <c r="C3" s="12" t="s">
        <v>4</v>
      </c>
      <c r="D3" s="12" t="s">
        <v>5</v>
      </c>
      <c r="E3" s="13" t="s">
        <v>6</v>
      </c>
      <c r="F3" s="9" t="s">
        <v>10</v>
      </c>
      <c r="G3" s="10" t="s">
        <v>11</v>
      </c>
      <c r="H3" s="12" t="s">
        <v>7</v>
      </c>
      <c r="I3" s="12" t="s">
        <v>8</v>
      </c>
      <c r="J3" s="10" t="s">
        <v>9</v>
      </c>
      <c r="X3" s="3"/>
    </row>
    <row r="4" spans="1:24" x14ac:dyDescent="0.2">
      <c r="A4" s="55">
        <v>2013</v>
      </c>
      <c r="B4" s="54">
        <v>549497173.52999997</v>
      </c>
      <c r="C4" s="53">
        <v>143932962.75999999</v>
      </c>
      <c r="D4" s="53">
        <v>12223572.08</v>
      </c>
      <c r="E4" s="53">
        <v>301960176.69</v>
      </c>
      <c r="F4" s="53">
        <v>21141808.760000002</v>
      </c>
      <c r="G4" s="53">
        <v>59991481.640000001</v>
      </c>
      <c r="H4" s="53">
        <v>445707046.22000003</v>
      </c>
      <c r="I4" s="53">
        <v>106309559.48999999</v>
      </c>
      <c r="J4" s="53">
        <v>133787266.08</v>
      </c>
    </row>
    <row r="5" spans="1:24" x14ac:dyDescent="0.2">
      <c r="A5" s="55">
        <v>2014</v>
      </c>
      <c r="B5" s="54">
        <v>612504183.88</v>
      </c>
      <c r="C5" s="53">
        <v>170236738.78</v>
      </c>
      <c r="D5" s="53">
        <v>16566111.310000001</v>
      </c>
      <c r="E5" s="53">
        <v>343663549.31999999</v>
      </c>
      <c r="F5" s="53">
        <v>24048269.699999999</v>
      </c>
      <c r="G5" s="53">
        <v>78076351.599999994</v>
      </c>
      <c r="H5" s="53">
        <v>532158076.98000002</v>
      </c>
      <c r="I5" s="53">
        <v>138316692.81</v>
      </c>
      <c r="J5" s="53">
        <v>152922987.49000001</v>
      </c>
    </row>
    <row r="6" spans="1:24" x14ac:dyDescent="0.2">
      <c r="A6" s="55">
        <v>2015</v>
      </c>
      <c r="B6" s="54">
        <v>694092188.13999999</v>
      </c>
      <c r="C6" s="53">
        <v>192499181.88</v>
      </c>
      <c r="D6" s="53">
        <v>35149669.899999999</v>
      </c>
      <c r="E6" s="53">
        <v>384112417.81999999</v>
      </c>
      <c r="F6" s="53">
        <v>33199394.620000001</v>
      </c>
      <c r="G6" s="53">
        <v>86377330.400000006</v>
      </c>
      <c r="H6" s="53">
        <v>641442384.73000002</v>
      </c>
      <c r="I6" s="53">
        <v>153901553.11000001</v>
      </c>
      <c r="J6" s="53">
        <v>165249536.12</v>
      </c>
    </row>
    <row r="7" spans="1:24" ht="20" x14ac:dyDescent="0.25">
      <c r="A7" s="55">
        <v>2016</v>
      </c>
      <c r="B7" s="54">
        <v>795261407.38999999</v>
      </c>
      <c r="C7" s="53">
        <v>213518558.71000001</v>
      </c>
      <c r="D7" s="53">
        <v>47489990.740000002</v>
      </c>
      <c r="E7" s="53">
        <v>436366839.33999997</v>
      </c>
      <c r="F7" s="53">
        <v>40060487.549999997</v>
      </c>
      <c r="G7" s="53">
        <v>95216847.930000007</v>
      </c>
      <c r="H7" s="53">
        <v>779421131.91999996</v>
      </c>
      <c r="I7" s="53">
        <v>178071431.87</v>
      </c>
      <c r="J7" s="53">
        <v>181362075.06</v>
      </c>
      <c r="X7" s="5"/>
    </row>
    <row r="8" spans="1:24" x14ac:dyDescent="0.2">
      <c r="A8" s="55">
        <v>2017</v>
      </c>
      <c r="B8" s="54">
        <v>875441631.49000001</v>
      </c>
      <c r="C8" s="53">
        <v>242857530</v>
      </c>
      <c r="D8" s="53">
        <v>44665928.899999999</v>
      </c>
      <c r="E8" s="53">
        <v>476024221.89999998</v>
      </c>
      <c r="F8" s="53">
        <v>46851922.280000001</v>
      </c>
      <c r="G8" s="53">
        <v>101881198.67</v>
      </c>
      <c r="H8" s="53">
        <v>763430041.30999994</v>
      </c>
      <c r="I8" s="53">
        <v>197015838.16999999</v>
      </c>
      <c r="J8" s="53">
        <v>201782831.49000001</v>
      </c>
    </row>
    <row r="9" spans="1:24" x14ac:dyDescent="0.2">
      <c r="A9" s="55">
        <v>2018</v>
      </c>
      <c r="B9" s="54">
        <v>933192110.55999994</v>
      </c>
      <c r="C9" s="53">
        <v>286149512.19</v>
      </c>
      <c r="D9" s="53">
        <v>50995136.280000001</v>
      </c>
      <c r="E9" s="53">
        <v>502197458.44</v>
      </c>
      <c r="F9" s="53">
        <v>64206454.030000001</v>
      </c>
      <c r="G9" s="53">
        <v>106272107.31999999</v>
      </c>
      <c r="H9" s="53">
        <v>858316818.55999994</v>
      </c>
      <c r="I9" s="53">
        <v>247832591.74000001</v>
      </c>
      <c r="J9" s="53">
        <v>221733549.15000001</v>
      </c>
    </row>
    <row r="10" spans="1:24" x14ac:dyDescent="0.2">
      <c r="A10" s="55">
        <v>2019</v>
      </c>
      <c r="B10" s="54">
        <v>998559263.59000003</v>
      </c>
      <c r="C10" s="53">
        <v>328722151.37</v>
      </c>
      <c r="D10" s="53">
        <v>95056679.370000005</v>
      </c>
      <c r="E10" s="53">
        <v>524321671.16000003</v>
      </c>
      <c r="F10" s="53">
        <v>77126857.269999996</v>
      </c>
      <c r="G10" s="53">
        <v>120780710.68000001</v>
      </c>
      <c r="H10" s="53">
        <v>991240967.60000002</v>
      </c>
      <c r="I10" s="53">
        <v>269564941.75999999</v>
      </c>
      <c r="J10" s="53">
        <v>238381421.25</v>
      </c>
    </row>
    <row r="11" spans="1:24" x14ac:dyDescent="0.2">
      <c r="A11" s="55">
        <v>2020</v>
      </c>
      <c r="B11" s="54">
        <v>1154457304.78</v>
      </c>
      <c r="C11" s="53">
        <v>328147664.57999998</v>
      </c>
      <c r="D11" s="53">
        <v>101146507.84</v>
      </c>
      <c r="E11" s="53">
        <v>594722075.29999995</v>
      </c>
      <c r="F11" s="53">
        <v>71918625.019999996</v>
      </c>
      <c r="G11" s="53">
        <v>118203455.40000001</v>
      </c>
      <c r="H11" s="53">
        <v>1075345609.1800001</v>
      </c>
      <c r="I11" s="53">
        <v>301112404.13</v>
      </c>
      <c r="J11" s="53">
        <v>237106810.16999999</v>
      </c>
    </row>
    <row r="12" spans="1:24" x14ac:dyDescent="0.2">
      <c r="A12" s="55">
        <v>2021</v>
      </c>
      <c r="B12" s="54">
        <v>1331668553.71</v>
      </c>
      <c r="C12" s="53">
        <v>401723467.25</v>
      </c>
      <c r="D12" s="53">
        <v>45077377.990000002</v>
      </c>
      <c r="E12" s="53">
        <v>662534774.41999996</v>
      </c>
      <c r="F12" s="53">
        <v>86666217.310000002</v>
      </c>
      <c r="G12" s="53">
        <v>149799908.25</v>
      </c>
      <c r="H12" s="53">
        <v>1146213430</v>
      </c>
      <c r="I12" s="53">
        <v>335908813.44999999</v>
      </c>
      <c r="J12" s="53">
        <v>289635093.56999999</v>
      </c>
    </row>
    <row r="13" spans="1:24" x14ac:dyDescent="0.2">
      <c r="A13" s="55">
        <v>2022</v>
      </c>
      <c r="B13" s="54">
        <v>1509839374.8499999</v>
      </c>
      <c r="C13" s="53">
        <v>463146672.61000001</v>
      </c>
      <c r="D13" s="53">
        <v>119861107.94</v>
      </c>
      <c r="E13" s="53">
        <v>797775712.39999998</v>
      </c>
      <c r="F13" s="53">
        <v>99214794.530000001</v>
      </c>
      <c r="G13" s="53">
        <v>176504644.80000001</v>
      </c>
      <c r="H13" s="53">
        <v>1438752937.5</v>
      </c>
      <c r="I13" s="53">
        <v>375076311.95999998</v>
      </c>
      <c r="J13" s="53">
        <v>372281846.86000001</v>
      </c>
    </row>
    <row r="16" spans="1:24" ht="27" thickBot="1" x14ac:dyDescent="0.25">
      <c r="A16" s="28" t="s">
        <v>2</v>
      </c>
      <c r="B16" s="28"/>
      <c r="C16" s="28"/>
      <c r="D16" s="28"/>
      <c r="E16" s="28"/>
      <c r="F16" s="28"/>
      <c r="G16" s="28"/>
      <c r="H16" s="29" t="s">
        <v>18</v>
      </c>
      <c r="I16" s="29"/>
      <c r="J16" s="29"/>
      <c r="K16" s="6"/>
      <c r="L16" s="6"/>
    </row>
    <row r="17" spans="1:10" ht="16" x14ac:dyDescent="0.2">
      <c r="A17" s="56">
        <v>4104808</v>
      </c>
      <c r="B17" s="9" t="s">
        <v>3</v>
      </c>
      <c r="C17" s="12" t="s">
        <v>4</v>
      </c>
      <c r="D17" s="12" t="s">
        <v>5</v>
      </c>
      <c r="E17" s="13" t="s">
        <v>6</v>
      </c>
      <c r="F17" s="9" t="s">
        <v>12</v>
      </c>
      <c r="G17" s="10" t="s">
        <v>13</v>
      </c>
      <c r="H17" s="9" t="s">
        <v>7</v>
      </c>
      <c r="I17" s="12" t="s">
        <v>8</v>
      </c>
      <c r="J17" s="10" t="s">
        <v>9</v>
      </c>
    </row>
    <row r="18" spans="1:10" x14ac:dyDescent="0.2">
      <c r="A18" s="55">
        <v>2013</v>
      </c>
      <c r="B18" s="54">
        <f>'Londrina PR'!B4*B31</f>
        <v>1931929955.001111</v>
      </c>
      <c r="C18" s="54">
        <f>'Londrina PR'!C4*B31</f>
        <v>621208826.31026924</v>
      </c>
      <c r="D18" s="54">
        <f>'Londrina PR'!D4*B31</f>
        <v>24340394.683763675</v>
      </c>
      <c r="E18" s="54">
        <f>E4*B31</f>
        <v>517091040.26040179</v>
      </c>
      <c r="F18" s="57">
        <f>F4*B31</f>
        <v>36204243.899082735</v>
      </c>
      <c r="G18" s="57">
        <f>G4*B31</f>
        <v>102732280.75315839</v>
      </c>
      <c r="H18" s="54">
        <f>H4*B31</f>
        <v>763250050.74393737</v>
      </c>
      <c r="I18" s="54">
        <f>I4*B31</f>
        <v>182049571.26761961</v>
      </c>
      <c r="J18" s="54">
        <f>J4*B31</f>
        <v>229103709.46671063</v>
      </c>
    </row>
    <row r="19" spans="1:10" x14ac:dyDescent="0.2">
      <c r="A19" s="55">
        <v>2014</v>
      </c>
      <c r="B19" s="54">
        <f t="shared" ref="B19:B27" si="0">B5*B32</f>
        <v>984352840.14555728</v>
      </c>
      <c r="C19" s="54">
        <f t="shared" ref="C19:C27" si="1">C5*B32</f>
        <v>273586730.8753612</v>
      </c>
      <c r="D19" s="54">
        <f t="shared" ref="D19:D27" si="2">D5*B32</f>
        <v>26623326.252022367</v>
      </c>
      <c r="E19" s="54">
        <f t="shared" ref="E19:E27" si="3">E5*B32</f>
        <v>552300212.35890985</v>
      </c>
      <c r="F19" s="57">
        <f t="shared" ref="F19:F27" si="4">F5*B32</f>
        <v>38647870.827310286</v>
      </c>
      <c r="G19" s="57">
        <f t="shared" ref="G19:G27" si="5">G5*B32</f>
        <v>125476168.9280481</v>
      </c>
      <c r="H19" s="54">
        <f t="shared" ref="H19:H27" si="6">H5*B32</f>
        <v>855228957.23482692</v>
      </c>
      <c r="I19" s="54">
        <f t="shared" ref="I19:I27" si="7">I5*B32</f>
        <v>222288162.25317192</v>
      </c>
      <c r="J19" s="54">
        <f t="shared" ref="J19:J27" si="8">J5*B32</f>
        <v>245761875.62633279</v>
      </c>
    </row>
    <row r="20" spans="1:10" x14ac:dyDescent="0.2">
      <c r="A20" s="55">
        <v>2015</v>
      </c>
      <c r="B20" s="54">
        <f t="shared" si="0"/>
        <v>1009695073.1766323</v>
      </c>
      <c r="C20" s="54">
        <f t="shared" si="1"/>
        <v>280028328.88181776</v>
      </c>
      <c r="D20" s="54">
        <f t="shared" si="2"/>
        <v>51132182.623926118</v>
      </c>
      <c r="E20" s="54">
        <f t="shared" si="3"/>
        <v>558767873.26785266</v>
      </c>
      <c r="F20" s="57">
        <f t="shared" si="4"/>
        <v>48295119.514440462</v>
      </c>
      <c r="G20" s="57">
        <f t="shared" si="5"/>
        <v>125652998.88008353</v>
      </c>
      <c r="H20" s="54">
        <f t="shared" si="6"/>
        <v>933105467.33586943</v>
      </c>
      <c r="I20" s="54">
        <f t="shared" si="7"/>
        <v>223880404.62725329</v>
      </c>
      <c r="J20" s="54">
        <f t="shared" si="8"/>
        <v>240388301.89432067</v>
      </c>
    </row>
    <row r="21" spans="1:10" x14ac:dyDescent="0.2">
      <c r="A21" s="55">
        <v>2016</v>
      </c>
      <c r="B21" s="54">
        <f t="shared" si="0"/>
        <v>1081309778.2755165</v>
      </c>
      <c r="C21" s="54">
        <f t="shared" si="1"/>
        <v>290319262.61095864</v>
      </c>
      <c r="D21" s="54">
        <f t="shared" si="2"/>
        <v>64571712.999261342</v>
      </c>
      <c r="E21" s="54">
        <f t="shared" si="3"/>
        <v>593324064.14904392</v>
      </c>
      <c r="F21" s="57">
        <f t="shared" si="4"/>
        <v>54469884.377347045</v>
      </c>
      <c r="G21" s="57">
        <f t="shared" si="5"/>
        <v>129465491.17878965</v>
      </c>
      <c r="H21" s="54">
        <f t="shared" si="6"/>
        <v>1059771898.2814367</v>
      </c>
      <c r="I21" s="54">
        <f t="shared" si="7"/>
        <v>242122123.27075216</v>
      </c>
      <c r="J21" s="54">
        <f t="shared" si="8"/>
        <v>246596381.20040646</v>
      </c>
    </row>
    <row r="22" spans="1:10" x14ac:dyDescent="0.2">
      <c r="A22" s="55">
        <v>2017</v>
      </c>
      <c r="B22" s="54">
        <f t="shared" si="0"/>
        <v>1157865229.9000945</v>
      </c>
      <c r="C22" s="54">
        <f t="shared" si="1"/>
        <v>321205069.18071002</v>
      </c>
      <c r="D22" s="54">
        <f t="shared" si="2"/>
        <v>59075470.224642299</v>
      </c>
      <c r="E22" s="54">
        <f t="shared" si="3"/>
        <v>629592968.05449331</v>
      </c>
      <c r="F22" s="57">
        <f t="shared" si="4"/>
        <v>61966680.370983966</v>
      </c>
      <c r="G22" s="57">
        <f t="shared" si="5"/>
        <v>134748786.5293327</v>
      </c>
      <c r="H22" s="54">
        <f t="shared" si="6"/>
        <v>1009717916.6468952</v>
      </c>
      <c r="I22" s="54">
        <f t="shared" si="7"/>
        <v>260574526.6745092</v>
      </c>
      <c r="J22" s="54">
        <f t="shared" si="8"/>
        <v>266879385.40849447</v>
      </c>
    </row>
    <row r="23" spans="1:10" x14ac:dyDescent="0.2">
      <c r="A23" s="55">
        <v>2018</v>
      </c>
      <c r="B23" s="54">
        <f t="shared" si="0"/>
        <v>1186251974.2484848</v>
      </c>
      <c r="C23" s="54">
        <f t="shared" si="1"/>
        <v>363746563.99734277</v>
      </c>
      <c r="D23" s="54">
        <f t="shared" si="2"/>
        <v>64823823.95294705</v>
      </c>
      <c r="E23" s="54">
        <f t="shared" si="3"/>
        <v>638381657.74840045</v>
      </c>
      <c r="F23" s="57">
        <f t="shared" si="4"/>
        <v>81617741.931911692</v>
      </c>
      <c r="G23" s="57">
        <f t="shared" si="5"/>
        <v>135090616.05787271</v>
      </c>
      <c r="H23" s="54">
        <f t="shared" si="6"/>
        <v>1091072255.1399176</v>
      </c>
      <c r="I23" s="54">
        <f t="shared" si="7"/>
        <v>315038991.33724129</v>
      </c>
      <c r="J23" s="54">
        <f t="shared" si="8"/>
        <v>281862499.11442989</v>
      </c>
    </row>
    <row r="24" spans="1:10" x14ac:dyDescent="0.2">
      <c r="A24" s="55">
        <v>2019</v>
      </c>
      <c r="B24" s="54">
        <f t="shared" si="0"/>
        <v>1229094244.2327907</v>
      </c>
      <c r="C24" s="54">
        <f t="shared" si="1"/>
        <v>404613445.52362865</v>
      </c>
      <c r="D24" s="54">
        <f t="shared" si="2"/>
        <v>117002186.80012143</v>
      </c>
      <c r="E24" s="54">
        <f t="shared" si="3"/>
        <v>645370557.00869846</v>
      </c>
      <c r="F24" s="57">
        <f t="shared" si="4"/>
        <v>94932949.703467458</v>
      </c>
      <c r="G24" s="57">
        <f t="shared" si="5"/>
        <v>148665063.480986</v>
      </c>
      <c r="H24" s="54">
        <f t="shared" si="6"/>
        <v>1220086390.8114898</v>
      </c>
      <c r="I24" s="54">
        <f t="shared" si="7"/>
        <v>331798752.90827096</v>
      </c>
      <c r="J24" s="54">
        <f t="shared" si="8"/>
        <v>293415967.85857654</v>
      </c>
    </row>
    <row r="25" spans="1:10" x14ac:dyDescent="0.2">
      <c r="A25" s="55">
        <v>2020</v>
      </c>
      <c r="B25" s="54">
        <f t="shared" si="0"/>
        <v>1362256040.8227551</v>
      </c>
      <c r="C25" s="54">
        <f t="shared" si="1"/>
        <v>387213226.94663978</v>
      </c>
      <c r="D25" s="54">
        <f>D11*B38</f>
        <v>119352565.69702569</v>
      </c>
      <c r="E25" s="54">
        <f t="shared" si="3"/>
        <v>701770205.21556652</v>
      </c>
      <c r="F25" s="57">
        <f t="shared" si="4"/>
        <v>84863754.575862423</v>
      </c>
      <c r="G25" s="57">
        <f t="shared" si="5"/>
        <v>139479710.94128826</v>
      </c>
      <c r="H25" s="54">
        <f t="shared" si="6"/>
        <v>1268904485.2610116</v>
      </c>
      <c r="I25" s="54">
        <f t="shared" si="7"/>
        <v>355311703.42494714</v>
      </c>
      <c r="J25" s="54">
        <f t="shared" si="8"/>
        <v>279785300.96948844</v>
      </c>
    </row>
    <row r="26" spans="1:10" x14ac:dyDescent="0.2">
      <c r="A26" s="55">
        <v>2021</v>
      </c>
      <c r="B26" s="54">
        <f t="shared" si="0"/>
        <v>1418986992.9447525</v>
      </c>
      <c r="C26" s="54">
        <f t="shared" si="1"/>
        <v>428064756.20400959</v>
      </c>
      <c r="D26" s="54">
        <f t="shared" si="2"/>
        <v>48033133.218968898</v>
      </c>
      <c r="E26" s="54">
        <f t="shared" si="3"/>
        <v>705977643.35306156</v>
      </c>
      <c r="F26" s="57">
        <f t="shared" si="4"/>
        <v>92348981.845368832</v>
      </c>
      <c r="G26" s="57">
        <f t="shared" si="5"/>
        <v>159622393.09388828</v>
      </c>
      <c r="H26" s="54">
        <f t="shared" si="6"/>
        <v>1221371446.9545012</v>
      </c>
      <c r="I26" s="54">
        <f t="shared" si="7"/>
        <v>357934589.48408592</v>
      </c>
      <c r="J26" s="54">
        <f t="shared" si="8"/>
        <v>308626669.39995044</v>
      </c>
    </row>
    <row r="27" spans="1:10" x14ac:dyDescent="0.2">
      <c r="A27" s="55">
        <v>2022</v>
      </c>
      <c r="B27" s="54">
        <f t="shared" si="0"/>
        <v>1519200378.9740698</v>
      </c>
      <c r="C27" s="54">
        <f t="shared" si="1"/>
        <v>466018181.98018199</v>
      </c>
      <c r="D27" s="54">
        <f t="shared" si="2"/>
        <v>120604246.809228</v>
      </c>
      <c r="E27" s="54">
        <f t="shared" si="3"/>
        <v>802721921.81687999</v>
      </c>
      <c r="F27" s="57">
        <f t="shared" si="4"/>
        <v>99829926.256086007</v>
      </c>
      <c r="G27" s="57">
        <f t="shared" si="5"/>
        <v>177598973.59776002</v>
      </c>
      <c r="H27" s="54">
        <f t="shared" si="6"/>
        <v>1447673205.7124999</v>
      </c>
      <c r="I27" s="54">
        <f t="shared" si="7"/>
        <v>377401785.09415197</v>
      </c>
      <c r="J27" s="54">
        <f t="shared" si="8"/>
        <v>374589994.31053203</v>
      </c>
    </row>
    <row r="29" spans="1:10" ht="16" thickBot="1" x14ac:dyDescent="0.25"/>
    <row r="30" spans="1:10" ht="17" thickTop="1" thickBot="1" x14ac:dyDescent="0.25">
      <c r="A30" s="7">
        <v>4104808</v>
      </c>
      <c r="B30" s="14" t="s">
        <v>14</v>
      </c>
      <c r="C30" s="14" t="s">
        <v>15</v>
      </c>
      <c r="D30" s="14" t="s">
        <v>16</v>
      </c>
      <c r="E30" s="20" t="s">
        <v>17</v>
      </c>
      <c r="F30" s="20"/>
      <c r="G30" s="15" t="s">
        <v>20</v>
      </c>
    </row>
    <row r="31" spans="1:10" ht="17" thickTop="1" thickBot="1" x14ac:dyDescent="0.25">
      <c r="A31" s="16">
        <v>2013</v>
      </c>
      <c r="B31" s="16">
        <v>1.7124478000000001</v>
      </c>
      <c r="C31" s="17" t="s">
        <v>22</v>
      </c>
      <c r="D31" s="18">
        <v>15972080</v>
      </c>
      <c r="E31" s="21">
        <f t="shared" ref="E31:E40" si="9">D31*B31</f>
        <v>27351353.257424001</v>
      </c>
      <c r="F31" s="21"/>
      <c r="G31" s="15">
        <v>6.1</v>
      </c>
    </row>
    <row r="32" spans="1:10" ht="22" customHeight="1" thickTop="1" thickBot="1" x14ac:dyDescent="0.25">
      <c r="A32" s="16">
        <v>2014</v>
      </c>
      <c r="B32" s="16">
        <v>1.6070956999999999</v>
      </c>
      <c r="C32" s="30">
        <v>348051</v>
      </c>
      <c r="D32" s="19">
        <v>16455810</v>
      </c>
      <c r="E32" s="21">
        <f t="shared" si="9"/>
        <v>26446061.491016999</v>
      </c>
      <c r="F32" s="21"/>
      <c r="G32" s="15">
        <v>6.1</v>
      </c>
    </row>
    <row r="33" spans="1:7" ht="17" customHeight="1" thickTop="1" thickBot="1" x14ac:dyDescent="0.25">
      <c r="A33" s="16">
        <v>2015</v>
      </c>
      <c r="B33" s="16">
        <v>1.4546988000000001</v>
      </c>
      <c r="C33" s="31"/>
      <c r="D33" s="19">
        <v>17748394</v>
      </c>
      <c r="E33" s="21">
        <f t="shared" si="9"/>
        <v>25818567.453727201</v>
      </c>
      <c r="F33" s="21"/>
      <c r="G33" s="15">
        <v>6.3</v>
      </c>
    </row>
    <row r="34" spans="1:7" ht="17" customHeight="1" thickTop="1" thickBot="1" x14ac:dyDescent="0.25">
      <c r="A34" s="16">
        <v>2016</v>
      </c>
      <c r="B34" s="16">
        <v>1.359691</v>
      </c>
      <c r="C34" s="31"/>
      <c r="D34" s="19">
        <v>18474866</v>
      </c>
      <c r="E34" s="21">
        <f t="shared" si="9"/>
        <v>25120109.026406001</v>
      </c>
      <c r="F34" s="21"/>
      <c r="G34" s="15">
        <v>6.3</v>
      </c>
    </row>
    <row r="35" spans="1:7" ht="17" customHeight="1" thickTop="1" thickBot="1" x14ac:dyDescent="0.25">
      <c r="A35" s="16">
        <v>2017</v>
      </c>
      <c r="B35" s="16">
        <v>1.3226070000000001</v>
      </c>
      <c r="C35" s="31"/>
      <c r="D35" s="19">
        <v>19240582</v>
      </c>
      <c r="E35" s="21">
        <f t="shared" si="9"/>
        <v>25447728.437274002</v>
      </c>
      <c r="F35" s="21"/>
      <c r="G35" s="15">
        <v>6.5</v>
      </c>
    </row>
    <row r="36" spans="1:7" ht="17" customHeight="1" thickTop="1" thickBot="1" x14ac:dyDescent="0.25">
      <c r="A36" s="16">
        <v>2018</v>
      </c>
      <c r="B36" s="16">
        <v>1.2711766</v>
      </c>
      <c r="C36" s="31"/>
      <c r="D36" s="19">
        <v>19953188</v>
      </c>
      <c r="E36" s="21">
        <f t="shared" si="9"/>
        <v>25364025.681000799</v>
      </c>
      <c r="F36" s="21"/>
      <c r="G36" s="15">
        <v>6.5</v>
      </c>
    </row>
    <row r="37" spans="1:7" ht="17" customHeight="1" thickTop="1" thickBot="1" x14ac:dyDescent="0.25">
      <c r="A37" s="16">
        <v>2019</v>
      </c>
      <c r="B37" s="16">
        <v>1.2308676000000001</v>
      </c>
      <c r="C37" s="31"/>
      <c r="D37" s="19">
        <v>21591521</v>
      </c>
      <c r="E37" s="21">
        <f t="shared" si="9"/>
        <v>26576303.633619603</v>
      </c>
      <c r="F37" s="21"/>
      <c r="G37" s="15">
        <v>6.5</v>
      </c>
    </row>
    <row r="38" spans="1:7" ht="17" customHeight="1" thickTop="1" thickBot="1" x14ac:dyDescent="0.25">
      <c r="A38" s="16">
        <v>2020</v>
      </c>
      <c r="B38" s="16">
        <v>1.1799968999999999</v>
      </c>
      <c r="C38" s="31"/>
      <c r="D38" s="19">
        <v>21700396</v>
      </c>
      <c r="E38" s="21">
        <f t="shared" si="9"/>
        <v>25606400.008772399</v>
      </c>
      <c r="F38" s="21"/>
      <c r="G38" s="15">
        <v>6.5</v>
      </c>
    </row>
    <row r="39" spans="1:7" ht="17" customHeight="1" thickTop="1" thickBot="1" x14ac:dyDescent="0.25">
      <c r="A39" s="16">
        <v>2021</v>
      </c>
      <c r="B39" s="16">
        <v>1.0655707000000001</v>
      </c>
      <c r="C39" s="31"/>
      <c r="D39" s="19">
        <v>23603698</v>
      </c>
      <c r="E39" s="21">
        <f t="shared" si="9"/>
        <v>25151409.000448603</v>
      </c>
      <c r="F39" s="21"/>
      <c r="G39" s="15">
        <v>6.3</v>
      </c>
    </row>
    <row r="40" spans="1:7" ht="17" customHeight="1" thickTop="1" thickBot="1" x14ac:dyDescent="0.25">
      <c r="A40" s="16">
        <v>2022</v>
      </c>
      <c r="B40" s="16">
        <v>1.0062</v>
      </c>
      <c r="C40" s="32"/>
      <c r="D40" s="19">
        <v>26215154</v>
      </c>
      <c r="E40" s="21">
        <f t="shared" si="9"/>
        <v>26377687.954799999</v>
      </c>
      <c r="F40" s="21"/>
      <c r="G40" s="15">
        <v>6.3</v>
      </c>
    </row>
    <row r="41" spans="1:7" ht="16" thickTop="1" x14ac:dyDescent="0.2"/>
  </sheetData>
  <mergeCells count="6">
    <mergeCell ref="C32:C40"/>
    <mergeCell ref="H2:J2"/>
    <mergeCell ref="A1:I1"/>
    <mergeCell ref="A2:G2"/>
    <mergeCell ref="A16:G16"/>
    <mergeCell ref="H16:J1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41"/>
  <sheetViews>
    <sheetView showGridLines="0" zoomScaleNormal="100" workbookViewId="0">
      <selection activeCell="G13" sqref="G13"/>
    </sheetView>
  </sheetViews>
  <sheetFormatPr baseColWidth="10" defaultColWidth="11.5" defaultRowHeight="15" x14ac:dyDescent="0.2"/>
  <cols>
    <col min="2" max="2" width="22.5" customWidth="1"/>
    <col min="3" max="4" width="22" customWidth="1"/>
    <col min="5" max="5" width="23.83203125" customWidth="1"/>
    <col min="6" max="8" width="33.33203125" customWidth="1"/>
    <col min="9" max="9" width="18.1640625" customWidth="1"/>
    <col min="10" max="10" width="25.83203125" customWidth="1"/>
    <col min="11" max="11" width="26.5" customWidth="1"/>
    <col min="12" max="12" width="20.33203125" customWidth="1"/>
  </cols>
  <sheetData>
    <row r="1" spans="2:24" ht="30" thickBot="1" x14ac:dyDescent="0.4">
      <c r="B1" s="37" t="s">
        <v>23</v>
      </c>
      <c r="C1" s="38"/>
      <c r="D1" s="38"/>
      <c r="E1" s="38"/>
      <c r="F1" s="38"/>
      <c r="G1" s="39"/>
    </row>
    <row r="2" spans="2:24" ht="27" thickBot="1" x14ac:dyDescent="0.25">
      <c r="B2" s="40" t="s">
        <v>24</v>
      </c>
      <c r="C2" s="41"/>
      <c r="D2" s="41"/>
      <c r="E2" s="41"/>
      <c r="F2" s="41"/>
      <c r="G2" s="42"/>
    </row>
    <row r="3" spans="2:24" ht="16" thickBot="1" x14ac:dyDescent="0.25">
      <c r="B3" s="35">
        <v>924</v>
      </c>
      <c r="C3" s="36" t="s">
        <v>25</v>
      </c>
      <c r="D3" s="36" t="s">
        <v>33</v>
      </c>
      <c r="E3" s="36" t="s">
        <v>31</v>
      </c>
      <c r="F3" s="35" t="s">
        <v>32</v>
      </c>
      <c r="G3" s="35" t="s">
        <v>34</v>
      </c>
      <c r="X3" s="3"/>
    </row>
    <row r="4" spans="2:24" ht="17" thickTop="1" thickBot="1" x14ac:dyDescent="0.25">
      <c r="B4" s="16">
        <v>2013</v>
      </c>
      <c r="C4" s="49">
        <v>9624.9</v>
      </c>
      <c r="D4" s="24">
        <v>16535.599999999999</v>
      </c>
      <c r="E4" s="24">
        <v>17034.2</v>
      </c>
      <c r="F4" s="43">
        <v>22085.8</v>
      </c>
      <c r="G4" s="43">
        <v>-498.6</v>
      </c>
    </row>
    <row r="5" spans="2:24" ht="17" thickTop="1" thickBot="1" x14ac:dyDescent="0.25">
      <c r="B5" s="16">
        <v>2014</v>
      </c>
      <c r="C5" s="49">
        <v>10524.2</v>
      </c>
      <c r="D5" s="24">
        <v>18237.2</v>
      </c>
      <c r="E5" s="24">
        <v>18678.8</v>
      </c>
      <c r="F5" s="43">
        <v>25842</v>
      </c>
      <c r="G5" s="43">
        <v>-441.6</v>
      </c>
    </row>
    <row r="6" spans="2:24" ht="17" thickTop="1" thickBot="1" x14ac:dyDescent="0.25">
      <c r="B6" s="16">
        <v>2015</v>
      </c>
      <c r="C6" s="49">
        <v>11113.5</v>
      </c>
      <c r="D6" s="24">
        <v>20076.7</v>
      </c>
      <c r="E6" s="24">
        <v>21837.1</v>
      </c>
      <c r="F6" s="43">
        <v>28714.2</v>
      </c>
      <c r="G6" s="43">
        <v>-1760.4</v>
      </c>
    </row>
    <row r="7" spans="2:24" ht="22" thickTop="1" thickBot="1" x14ac:dyDescent="0.3">
      <c r="B7" s="16">
        <v>2016</v>
      </c>
      <c r="C7" s="49">
        <v>11226.9</v>
      </c>
      <c r="D7" s="24">
        <v>21577</v>
      </c>
      <c r="E7" s="24">
        <v>24107.3</v>
      </c>
      <c r="F7" s="43">
        <v>37821.9</v>
      </c>
      <c r="G7" s="43">
        <v>-2530.3000000000002</v>
      </c>
      <c r="X7" s="5"/>
    </row>
    <row r="8" spans="2:24" ht="17" thickTop="1" thickBot="1" x14ac:dyDescent="0.25">
      <c r="B8" s="16">
        <v>2017</v>
      </c>
      <c r="C8" s="49">
        <v>12265.3</v>
      </c>
      <c r="D8" s="24">
        <v>24232.6</v>
      </c>
      <c r="E8" s="24">
        <v>27054</v>
      </c>
      <c r="F8" s="43">
        <v>45553.1</v>
      </c>
      <c r="G8" s="43">
        <v>-2821.4</v>
      </c>
    </row>
    <row r="9" spans="2:24" ht="17" thickTop="1" thickBot="1" x14ac:dyDescent="0.25">
      <c r="B9" s="16">
        <v>2018</v>
      </c>
      <c r="C9" s="49">
        <v>13841.8</v>
      </c>
      <c r="D9" s="24">
        <v>26551.5</v>
      </c>
      <c r="E9" s="24">
        <v>30474.2</v>
      </c>
      <c r="F9" s="43">
        <v>51887.1</v>
      </c>
      <c r="G9" s="43">
        <v>-3922.7</v>
      </c>
    </row>
    <row r="10" spans="2:24" ht="17" thickTop="1" thickBot="1" x14ac:dyDescent="0.25">
      <c r="B10" s="16">
        <v>2019</v>
      </c>
      <c r="C10" s="49">
        <v>14340.6</v>
      </c>
      <c r="D10" s="24">
        <v>27790.1</v>
      </c>
      <c r="E10" s="24">
        <v>33835.300000000003</v>
      </c>
      <c r="F10" s="43">
        <v>59842.400000000001</v>
      </c>
      <c r="G10" s="43">
        <v>-6045.2</v>
      </c>
    </row>
    <row r="11" spans="2:24" ht="17" thickTop="1" thickBot="1" x14ac:dyDescent="0.25">
      <c r="B11" s="16">
        <v>2020</v>
      </c>
      <c r="C11" s="49">
        <v>14862.6</v>
      </c>
      <c r="D11" s="24">
        <v>26342.9</v>
      </c>
      <c r="E11" s="24">
        <v>36310</v>
      </c>
      <c r="F11" s="43">
        <v>71935</v>
      </c>
      <c r="G11" s="43">
        <v>-9967.2000000000007</v>
      </c>
    </row>
    <row r="12" spans="2:24" ht="17" thickTop="1" thickBot="1" x14ac:dyDescent="0.25">
      <c r="B12" s="16">
        <v>2021</v>
      </c>
      <c r="C12" s="49">
        <v>17749.3</v>
      </c>
      <c r="D12" s="24">
        <v>30511.7</v>
      </c>
      <c r="E12" s="24">
        <v>37434.9</v>
      </c>
      <c r="F12" s="43">
        <v>82272.5</v>
      </c>
      <c r="G12" s="43">
        <v>-6923.3</v>
      </c>
    </row>
    <row r="13" spans="2:24" ht="17" thickTop="1" thickBot="1" x14ac:dyDescent="0.25">
      <c r="B13" s="16">
        <v>2022</v>
      </c>
      <c r="C13" s="50">
        <v>17848.5</v>
      </c>
      <c r="D13" s="25">
        <v>31233.1</v>
      </c>
      <c r="E13" s="25">
        <v>40260.400000000001</v>
      </c>
      <c r="F13" s="44">
        <v>92695.7</v>
      </c>
      <c r="G13" s="43">
        <v>-9027.2999999999993</v>
      </c>
    </row>
    <row r="14" spans="2:24" ht="16" thickTop="1" x14ac:dyDescent="0.2"/>
    <row r="16" spans="2:24" ht="27" thickBot="1" x14ac:dyDescent="0.25">
      <c r="B16" s="28" t="s">
        <v>30</v>
      </c>
      <c r="C16" s="28"/>
      <c r="D16" s="28"/>
      <c r="E16" s="28"/>
      <c r="F16" s="28"/>
      <c r="G16" s="28"/>
      <c r="K16" s="6"/>
      <c r="L16" s="6"/>
    </row>
    <row r="17" spans="2:8" ht="16" thickBot="1" x14ac:dyDescent="0.25">
      <c r="B17" s="7">
        <v>924</v>
      </c>
      <c r="C17" s="36" t="s">
        <v>25</v>
      </c>
      <c r="D17" s="36" t="s">
        <v>33</v>
      </c>
      <c r="E17" s="36" t="s">
        <v>31</v>
      </c>
      <c r="F17" s="35" t="s">
        <v>32</v>
      </c>
      <c r="G17" s="35" t="s">
        <v>34</v>
      </c>
    </row>
    <row r="18" spans="2:8" ht="17" thickTop="1" thickBot="1" x14ac:dyDescent="0.25">
      <c r="B18" s="16">
        <v>2013</v>
      </c>
      <c r="C18" s="49">
        <f>C4*C31</f>
        <v>253.13487000000001</v>
      </c>
      <c r="D18" s="51">
        <f>D4*C31</f>
        <v>434.88627999999994</v>
      </c>
      <c r="E18" s="51">
        <f>E4*C31</f>
        <v>447.99946</v>
      </c>
      <c r="F18" s="52">
        <f>F4*C31</f>
        <v>580.85654</v>
      </c>
      <c r="G18" s="52">
        <f>G4*C31</f>
        <v>-13.113180000000002</v>
      </c>
    </row>
    <row r="19" spans="2:8" ht="17" thickTop="1" thickBot="1" x14ac:dyDescent="0.25">
      <c r="B19" s="16">
        <v>2014</v>
      </c>
      <c r="C19" s="49">
        <f t="shared" ref="C19:C27" si="0">C5*C32</f>
        <v>209.43158000000003</v>
      </c>
      <c r="D19" s="51">
        <f t="shared" ref="D19:D27" si="1">D5*C32</f>
        <v>362.92028000000005</v>
      </c>
      <c r="E19" s="51">
        <f t="shared" ref="E19:E27" si="2">E5*C32</f>
        <v>371.70812000000001</v>
      </c>
      <c r="F19" s="52">
        <f t="shared" ref="F19:F27" si="3">F5*C32</f>
        <v>514.25580000000002</v>
      </c>
      <c r="G19" s="52">
        <f t="shared" ref="G19:G27" si="4">G5*C32</f>
        <v>-8.787840000000001</v>
      </c>
    </row>
    <row r="20" spans="2:8" ht="17" thickTop="1" thickBot="1" x14ac:dyDescent="0.25">
      <c r="B20" s="16">
        <v>2015</v>
      </c>
      <c r="C20" s="49">
        <f t="shared" si="0"/>
        <v>160.03440000000001</v>
      </c>
      <c r="D20" s="51">
        <f t="shared" si="1"/>
        <v>289.10448000000002</v>
      </c>
      <c r="E20" s="51">
        <f t="shared" si="2"/>
        <v>314.45423999999997</v>
      </c>
      <c r="F20" s="52">
        <f t="shared" si="3"/>
        <v>413.48448000000002</v>
      </c>
      <c r="G20" s="52">
        <f t="shared" si="4"/>
        <v>-25.34976</v>
      </c>
    </row>
    <row r="21" spans="2:8" ht="17" thickTop="1" thickBot="1" x14ac:dyDescent="0.25">
      <c r="B21" s="16">
        <v>2016</v>
      </c>
      <c r="C21" s="49">
        <f t="shared" si="0"/>
        <v>224.53800000000001</v>
      </c>
      <c r="D21" s="51">
        <f t="shared" si="1"/>
        <v>431.54</v>
      </c>
      <c r="E21" s="51">
        <f t="shared" si="2"/>
        <v>482.14600000000002</v>
      </c>
      <c r="F21" s="52">
        <f t="shared" si="3"/>
        <v>756.43799999999999</v>
      </c>
      <c r="G21" s="52">
        <f t="shared" si="4"/>
        <v>-50.606000000000002</v>
      </c>
    </row>
    <row r="22" spans="2:8" ht="17" thickTop="1" thickBot="1" x14ac:dyDescent="0.25">
      <c r="B22" s="16">
        <v>2017</v>
      </c>
      <c r="C22" s="49">
        <f t="shared" si="0"/>
        <v>193.79174</v>
      </c>
      <c r="D22" s="51">
        <f t="shared" si="1"/>
        <v>382.87508000000003</v>
      </c>
      <c r="E22" s="51">
        <f t="shared" si="2"/>
        <v>427.45320000000004</v>
      </c>
      <c r="F22" s="52">
        <f t="shared" si="3"/>
        <v>719.73898000000008</v>
      </c>
      <c r="G22" s="52">
        <f t="shared" si="4"/>
        <v>-44.578120000000006</v>
      </c>
    </row>
    <row r="23" spans="2:8" ht="17" thickTop="1" thickBot="1" x14ac:dyDescent="0.25">
      <c r="B23" s="16">
        <v>2018</v>
      </c>
      <c r="C23" s="49">
        <f t="shared" si="0"/>
        <v>289.29361999999998</v>
      </c>
      <c r="D23" s="51">
        <f t="shared" si="1"/>
        <v>554.92634999999996</v>
      </c>
      <c r="E23" s="51">
        <f t="shared" si="2"/>
        <v>636.91077999999993</v>
      </c>
      <c r="F23" s="52">
        <f t="shared" si="3"/>
        <v>1084.44039</v>
      </c>
      <c r="G23" s="52">
        <f t="shared" si="4"/>
        <v>-81.984429999999989</v>
      </c>
    </row>
    <row r="24" spans="2:8" ht="17" thickTop="1" thickBot="1" x14ac:dyDescent="0.25">
      <c r="B24" s="16">
        <v>2019</v>
      </c>
      <c r="C24" s="49">
        <f t="shared" si="0"/>
        <v>417.31146000000001</v>
      </c>
      <c r="D24" s="51">
        <f t="shared" si="1"/>
        <v>808.69191000000001</v>
      </c>
      <c r="E24" s="51">
        <f t="shared" si="2"/>
        <v>984.60723000000007</v>
      </c>
      <c r="F24" s="52">
        <f t="shared" si="3"/>
        <v>1741.4138400000002</v>
      </c>
      <c r="G24" s="52">
        <f t="shared" si="4"/>
        <v>-175.91532000000001</v>
      </c>
    </row>
    <row r="25" spans="2:8" ht="17" thickTop="1" thickBot="1" x14ac:dyDescent="0.25">
      <c r="B25" s="16">
        <v>2020</v>
      </c>
      <c r="C25" s="49">
        <f t="shared" si="0"/>
        <v>370.07873999999998</v>
      </c>
      <c r="D25" s="51">
        <f t="shared" si="1"/>
        <v>655.93821000000003</v>
      </c>
      <c r="E25" s="51">
        <f t="shared" si="2"/>
        <v>904.11899999999991</v>
      </c>
      <c r="F25" s="52">
        <f t="shared" si="3"/>
        <v>1791.1814999999999</v>
      </c>
      <c r="G25" s="52">
        <f t="shared" si="4"/>
        <v>-248.18328</v>
      </c>
    </row>
    <row r="26" spans="2:8" ht="17" thickTop="1" thickBot="1" x14ac:dyDescent="0.25">
      <c r="B26" s="16">
        <v>2021</v>
      </c>
      <c r="C26" s="49">
        <f t="shared" si="0"/>
        <v>163.29355999999999</v>
      </c>
      <c r="D26" s="51">
        <f t="shared" si="1"/>
        <v>280.70764000000003</v>
      </c>
      <c r="E26" s="51">
        <f t="shared" si="2"/>
        <v>344.40108000000004</v>
      </c>
      <c r="F26" s="52">
        <f t="shared" si="3"/>
        <v>756.90700000000004</v>
      </c>
      <c r="G26" s="52">
        <f t="shared" si="4"/>
        <v>-63.694360000000003</v>
      </c>
    </row>
    <row r="27" spans="2:8" ht="17" thickTop="1" thickBot="1" x14ac:dyDescent="0.25">
      <c r="B27" s="16">
        <v>2022</v>
      </c>
      <c r="C27" s="49">
        <f t="shared" si="0"/>
        <v>353.40030000000002</v>
      </c>
      <c r="D27" s="51">
        <f t="shared" si="1"/>
        <v>618.41538000000003</v>
      </c>
      <c r="E27" s="51">
        <f t="shared" si="2"/>
        <v>797.15592000000015</v>
      </c>
      <c r="F27" s="52">
        <f t="shared" si="3"/>
        <v>1835.3748600000001</v>
      </c>
      <c r="G27" s="52">
        <f t="shared" si="4"/>
        <v>-178.74054000000001</v>
      </c>
    </row>
    <row r="28" spans="2:8" ht="16" thickTop="1" x14ac:dyDescent="0.2"/>
    <row r="29" spans="2:8" ht="16" thickBot="1" x14ac:dyDescent="0.25"/>
    <row r="30" spans="2:8" ht="17" thickTop="1" thickBot="1" x14ac:dyDescent="0.25">
      <c r="B30" s="7">
        <v>4104808</v>
      </c>
      <c r="C30" s="14" t="s">
        <v>14</v>
      </c>
      <c r="D30" s="46" t="s">
        <v>15</v>
      </c>
      <c r="E30" s="8" t="s">
        <v>26</v>
      </c>
      <c r="F30" s="8" t="s">
        <v>27</v>
      </c>
      <c r="G30" s="8" t="s">
        <v>28</v>
      </c>
      <c r="H30" s="7" t="s">
        <v>29</v>
      </c>
    </row>
    <row r="31" spans="2:8" ht="17" thickTop="1" thickBot="1" x14ac:dyDescent="0.25">
      <c r="B31" s="16">
        <v>2013</v>
      </c>
      <c r="C31" s="45">
        <v>2.63E-2</v>
      </c>
      <c r="D31" s="47" t="s">
        <v>22</v>
      </c>
      <c r="E31" s="45">
        <v>0.27700000000000002</v>
      </c>
      <c r="F31" s="45">
        <v>0.28599999999999998</v>
      </c>
      <c r="G31" s="45">
        <v>-8.0000000000000002E-3</v>
      </c>
      <c r="H31" s="45">
        <v>0.37</v>
      </c>
    </row>
    <row r="32" spans="2:8" ht="22" customHeight="1" thickTop="1" thickBot="1" x14ac:dyDescent="0.25">
      <c r="B32" s="16">
        <v>2014</v>
      </c>
      <c r="C32" s="45">
        <v>1.9900000000000001E-2</v>
      </c>
      <c r="D32" s="58" t="s">
        <v>35</v>
      </c>
      <c r="E32" s="45">
        <v>0.28199999999999997</v>
      </c>
      <c r="F32" s="45">
        <v>0.38900000000000001</v>
      </c>
      <c r="G32" s="45">
        <v>-7.0000000000000001E-3</v>
      </c>
      <c r="H32" s="45">
        <v>0.4</v>
      </c>
    </row>
    <row r="33" spans="2:8" ht="17" customHeight="1" thickTop="1" thickBot="1" x14ac:dyDescent="0.25">
      <c r="B33" s="16">
        <v>2015</v>
      </c>
      <c r="C33" s="45">
        <v>1.44E-2</v>
      </c>
      <c r="D33" s="59"/>
      <c r="E33" s="45">
        <v>0.28999999999999998</v>
      </c>
      <c r="F33" s="45">
        <v>0.316</v>
      </c>
      <c r="G33" s="45">
        <v>-2.5000000000000001E-2</v>
      </c>
      <c r="H33" s="45">
        <v>0.41499999999999998</v>
      </c>
    </row>
    <row r="34" spans="2:8" ht="17" customHeight="1" thickTop="1" thickBot="1" x14ac:dyDescent="0.25">
      <c r="B34" s="16">
        <v>2016</v>
      </c>
      <c r="C34" s="45">
        <v>0.02</v>
      </c>
      <c r="D34" s="59"/>
      <c r="E34" s="45">
        <v>0.28899999999999998</v>
      </c>
      <c r="F34" s="45">
        <v>0.32300000000000001</v>
      </c>
      <c r="G34" s="45">
        <v>-3.4000000000000002E-2</v>
      </c>
      <c r="H34" s="45">
        <v>0.50700000000000001</v>
      </c>
    </row>
    <row r="35" spans="2:8" ht="17" customHeight="1" thickTop="1" thickBot="1" x14ac:dyDescent="0.25">
      <c r="B35" s="16">
        <v>2017</v>
      </c>
      <c r="C35" s="45">
        <v>1.5800000000000002E-2</v>
      </c>
      <c r="D35" s="59"/>
      <c r="E35" s="45">
        <v>0.29199999999999998</v>
      </c>
      <c r="F35" s="45">
        <v>0.32600000000000001</v>
      </c>
      <c r="G35" s="48">
        <v>3.4000000000000002E-2</v>
      </c>
      <c r="H35" s="45">
        <v>0.55000000000000004</v>
      </c>
    </row>
    <row r="36" spans="2:8" ht="17" customHeight="1" thickTop="1" thickBot="1" x14ac:dyDescent="0.25">
      <c r="B36" s="16">
        <v>2018</v>
      </c>
      <c r="C36" s="45">
        <v>2.0899999999999998E-2</v>
      </c>
      <c r="D36" s="59"/>
      <c r="E36" s="45">
        <v>0.28999999999999998</v>
      </c>
      <c r="F36" s="45">
        <v>0.33300000000000002</v>
      </c>
      <c r="G36" s="45">
        <v>-4.2999999999999997E-2</v>
      </c>
      <c r="H36" s="45">
        <v>0.56699999999999995</v>
      </c>
    </row>
    <row r="37" spans="2:8" ht="17" customHeight="1" thickTop="1" thickBot="1" x14ac:dyDescent="0.25">
      <c r="B37" s="16">
        <v>2019</v>
      </c>
      <c r="C37" s="45">
        <v>2.9100000000000001E-2</v>
      </c>
      <c r="D37" s="59"/>
      <c r="E37" s="45">
        <v>0.28100000000000003</v>
      </c>
      <c r="F37" s="45">
        <v>0.34200000000000003</v>
      </c>
      <c r="G37" s="45">
        <v>-6.0999999999999999E-2</v>
      </c>
      <c r="H37" s="45">
        <v>0.60399999999999998</v>
      </c>
    </row>
    <row r="38" spans="2:8" ht="17" customHeight="1" thickTop="1" thickBot="1" x14ac:dyDescent="0.25">
      <c r="B38" s="16">
        <v>2020</v>
      </c>
      <c r="C38" s="45">
        <v>2.4899999999999999E-2</v>
      </c>
      <c r="D38" s="59"/>
      <c r="E38" s="45">
        <v>0.25700000000000001</v>
      </c>
      <c r="F38" s="45">
        <v>0.35399999999999998</v>
      </c>
      <c r="G38" s="45">
        <v>-9.7000000000000003E-2</v>
      </c>
      <c r="H38" s="45">
        <v>0.70099999999999996</v>
      </c>
    </row>
    <row r="39" spans="2:8" ht="17" customHeight="1" thickTop="1" thickBot="1" x14ac:dyDescent="0.25">
      <c r="B39" s="16">
        <v>2021</v>
      </c>
      <c r="C39" s="45">
        <v>9.1999999999999998E-3</v>
      </c>
      <c r="D39" s="59"/>
      <c r="E39" s="45">
        <v>0.26600000000000001</v>
      </c>
      <c r="F39" s="45">
        <v>0.32700000000000001</v>
      </c>
      <c r="G39" s="45">
        <v>-0.06</v>
      </c>
      <c r="H39" s="45">
        <v>0.71799999999999997</v>
      </c>
    </row>
    <row r="40" spans="2:8" ht="17" customHeight="1" thickTop="1" thickBot="1" x14ac:dyDescent="0.25">
      <c r="B40" s="16">
        <v>2022</v>
      </c>
      <c r="C40" s="45">
        <v>1.9800000000000002E-2</v>
      </c>
      <c r="D40" s="60"/>
      <c r="E40" s="45">
        <v>0.26</v>
      </c>
      <c r="F40" s="45">
        <v>0.33500000000000002</v>
      </c>
      <c r="G40" s="45">
        <v>-7.4999999999999997E-2</v>
      </c>
      <c r="H40" s="45">
        <v>0.77100000000000002</v>
      </c>
    </row>
    <row r="41" spans="2:8" ht="16" thickTop="1" x14ac:dyDescent="0.2"/>
  </sheetData>
  <mergeCells count="4">
    <mergeCell ref="D32:D40"/>
    <mergeCell ref="B1:G1"/>
    <mergeCell ref="B2:G2"/>
    <mergeCell ref="B16:G16"/>
  </mergeCells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Londrina PR</vt:lpstr>
      <vt:lpstr>Cascavel PR</vt:lpstr>
      <vt:lpstr>China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Gabriel Rodrigues De Carvalho</cp:lastModifiedBy>
  <cp:revision>1</cp:revision>
  <dcterms:created xsi:type="dcterms:W3CDTF">2026-05-07T03:05:29Z</dcterms:created>
  <dcterms:modified xsi:type="dcterms:W3CDTF">2026-05-10T00:09:41Z</dcterms:modified>
  <dc:language>pt-BR</dc:language>
</cp:coreProperties>
</file>